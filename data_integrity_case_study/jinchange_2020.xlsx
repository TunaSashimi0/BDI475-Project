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indenlu/Downloads/"/>
    </mc:Choice>
  </mc:AlternateContent>
  <xr:revisionPtr revIDLastSave="0" documentId="13_ncr:1_{6E6209AC-11DE-A443-B57B-502244D1E220}" xr6:coauthVersionLast="47" xr6:coauthVersionMax="47" xr10:uidLastSave="{00000000-0000-0000-0000-000000000000}"/>
  <bookViews>
    <workbookView xWindow="1060" yWindow="2760" windowWidth="26440" windowHeight="14640" xr2:uid="{00000000-000D-0000-FFFF-FFFF00000000}"/>
  </bookViews>
  <sheets>
    <sheet name="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3" i="1" l="1"/>
  <c r="AF173" i="1" s="1"/>
  <c r="M173" i="1"/>
  <c r="L173" i="1"/>
  <c r="AE172" i="1"/>
  <c r="AF172" i="1" s="1"/>
  <c r="M172" i="1"/>
  <c r="L172" i="1"/>
  <c r="AE171" i="1"/>
  <c r="AF171" i="1" s="1"/>
  <c r="M171" i="1"/>
  <c r="L171" i="1"/>
  <c r="AE170" i="1"/>
  <c r="AF170" i="1" s="1"/>
  <c r="M170" i="1"/>
  <c r="L170" i="1"/>
  <c r="AE169" i="1"/>
  <c r="AF169" i="1" s="1"/>
  <c r="M169" i="1"/>
  <c r="L169" i="1"/>
  <c r="AE168" i="1"/>
  <c r="AF168" i="1" s="1"/>
  <c r="M168" i="1"/>
  <c r="L168" i="1"/>
  <c r="AE167" i="1"/>
  <c r="AF167" i="1" s="1"/>
  <c r="M167" i="1"/>
  <c r="L167" i="1"/>
  <c r="AE166" i="1"/>
  <c r="AF166" i="1" s="1"/>
  <c r="M166" i="1"/>
  <c r="L166" i="1"/>
  <c r="AE165" i="1"/>
  <c r="AF165" i="1" s="1"/>
  <c r="M165" i="1"/>
  <c r="L165" i="1"/>
  <c r="AE164" i="1"/>
  <c r="AF164" i="1" s="1"/>
  <c r="M164" i="1"/>
  <c r="L164" i="1"/>
  <c r="AE163" i="1"/>
  <c r="AF163" i="1" s="1"/>
  <c r="M163" i="1"/>
  <c r="L163" i="1"/>
  <c r="AE162" i="1"/>
  <c r="AF162" i="1" s="1"/>
  <c r="M162" i="1"/>
  <c r="L162" i="1"/>
  <c r="AE161" i="1"/>
  <c r="AF161" i="1" s="1"/>
  <c r="M161" i="1"/>
  <c r="L161" i="1"/>
  <c r="AE160" i="1"/>
  <c r="AF160" i="1" s="1"/>
  <c r="M160" i="1"/>
  <c r="L160" i="1"/>
  <c r="AE159" i="1"/>
  <c r="AF159" i="1" s="1"/>
  <c r="M159" i="1"/>
  <c r="L159" i="1"/>
  <c r="AE158" i="1"/>
  <c r="AF158" i="1" s="1"/>
  <c r="M158" i="1"/>
  <c r="L158" i="1"/>
  <c r="AE157" i="1"/>
  <c r="AF157" i="1" s="1"/>
  <c r="M157" i="1"/>
  <c r="L157" i="1"/>
  <c r="AE156" i="1"/>
  <c r="AF156" i="1" s="1"/>
  <c r="M156" i="1"/>
  <c r="L156" i="1"/>
  <c r="AE155" i="1"/>
  <c r="AF155" i="1" s="1"/>
  <c r="M155" i="1"/>
  <c r="L155" i="1"/>
  <c r="AE154" i="1"/>
  <c r="AF154" i="1" s="1"/>
  <c r="M154" i="1"/>
  <c r="L154" i="1"/>
  <c r="AE153" i="1"/>
  <c r="AF153" i="1" s="1"/>
  <c r="M153" i="1"/>
  <c r="L153" i="1"/>
  <c r="AE152" i="1"/>
  <c r="AF152" i="1" s="1"/>
  <c r="M152" i="1"/>
  <c r="L152" i="1"/>
  <c r="AE151" i="1"/>
  <c r="AF151" i="1" s="1"/>
  <c r="M151" i="1"/>
  <c r="L151" i="1"/>
  <c r="AE150" i="1"/>
  <c r="AF150" i="1" s="1"/>
  <c r="M150" i="1"/>
  <c r="L150" i="1"/>
  <c r="AE149" i="1"/>
  <c r="AF149" i="1" s="1"/>
  <c r="M149" i="1"/>
  <c r="L149" i="1"/>
  <c r="AE148" i="1"/>
  <c r="AF148" i="1" s="1"/>
  <c r="M148" i="1"/>
  <c r="L148" i="1"/>
  <c r="AE147" i="1"/>
  <c r="AF147" i="1" s="1"/>
  <c r="M147" i="1"/>
  <c r="L147" i="1"/>
  <c r="AE146" i="1"/>
  <c r="AF146" i="1" s="1"/>
  <c r="M146" i="1"/>
  <c r="L146" i="1"/>
  <c r="AE145" i="1"/>
  <c r="AF145" i="1" s="1"/>
  <c r="M145" i="1"/>
  <c r="L145" i="1"/>
  <c r="AE144" i="1"/>
  <c r="AF144" i="1" s="1"/>
  <c r="M144" i="1"/>
  <c r="L144" i="1"/>
  <c r="AE143" i="1"/>
  <c r="AF143" i="1" s="1"/>
  <c r="M143" i="1"/>
  <c r="L143" i="1"/>
  <c r="AE142" i="1"/>
  <c r="AF142" i="1" s="1"/>
  <c r="M142" i="1"/>
  <c r="L142" i="1"/>
  <c r="AE141" i="1"/>
  <c r="AF141" i="1" s="1"/>
  <c r="M141" i="1"/>
  <c r="L141" i="1"/>
  <c r="AE140" i="1"/>
  <c r="AF140" i="1" s="1"/>
  <c r="M140" i="1"/>
  <c r="L140" i="1"/>
  <c r="AE139" i="1"/>
  <c r="AF139" i="1" s="1"/>
  <c r="M139" i="1"/>
  <c r="L139" i="1"/>
  <c r="AE138" i="1"/>
  <c r="AF138" i="1" s="1"/>
  <c r="M138" i="1"/>
  <c r="L138" i="1"/>
  <c r="AE137" i="1"/>
  <c r="AF137" i="1" s="1"/>
  <c r="M137" i="1"/>
  <c r="L137" i="1"/>
  <c r="AE136" i="1"/>
  <c r="AF136" i="1" s="1"/>
  <c r="M136" i="1"/>
  <c r="L136" i="1"/>
  <c r="AE135" i="1"/>
  <c r="AF135" i="1" s="1"/>
  <c r="M135" i="1"/>
  <c r="L135" i="1"/>
  <c r="AE134" i="1"/>
  <c r="AF134" i="1" s="1"/>
  <c r="M134" i="1"/>
  <c r="L134" i="1"/>
  <c r="AE133" i="1"/>
  <c r="AF133" i="1" s="1"/>
  <c r="M133" i="1"/>
  <c r="L133" i="1"/>
  <c r="AE132" i="1"/>
  <c r="AF132" i="1" s="1"/>
  <c r="M132" i="1"/>
  <c r="L132" i="1"/>
  <c r="AE131" i="1"/>
  <c r="AF131" i="1" s="1"/>
  <c r="M131" i="1"/>
  <c r="L131" i="1"/>
  <c r="AE130" i="1"/>
  <c r="AF130" i="1" s="1"/>
  <c r="M130" i="1"/>
  <c r="L130" i="1"/>
  <c r="AE129" i="1"/>
  <c r="AF129" i="1" s="1"/>
  <c r="M129" i="1"/>
  <c r="L129" i="1"/>
  <c r="AE128" i="1"/>
  <c r="AF128" i="1" s="1"/>
  <c r="M128" i="1"/>
  <c r="L128" i="1"/>
  <c r="AE127" i="1"/>
  <c r="AF127" i="1" s="1"/>
  <c r="M127" i="1"/>
  <c r="L127" i="1"/>
  <c r="AE126" i="1"/>
  <c r="AF126" i="1" s="1"/>
  <c r="M126" i="1"/>
  <c r="L126" i="1"/>
  <c r="AE125" i="1"/>
  <c r="AF125" i="1" s="1"/>
  <c r="M125" i="1"/>
  <c r="L125" i="1"/>
  <c r="AE124" i="1"/>
  <c r="AF124" i="1" s="1"/>
  <c r="M124" i="1"/>
  <c r="L124" i="1"/>
  <c r="AE123" i="1"/>
  <c r="AF123" i="1" s="1"/>
  <c r="M123" i="1"/>
  <c r="L123" i="1"/>
  <c r="AE122" i="1"/>
  <c r="AF122" i="1" s="1"/>
  <c r="M122" i="1"/>
  <c r="L122" i="1"/>
  <c r="AE121" i="1"/>
  <c r="AF121" i="1" s="1"/>
  <c r="M121" i="1"/>
  <c r="L121" i="1"/>
  <c r="AE120" i="1"/>
  <c r="AF120" i="1" s="1"/>
  <c r="M120" i="1"/>
  <c r="L120" i="1"/>
  <c r="AE119" i="1"/>
  <c r="AF119" i="1" s="1"/>
  <c r="M119" i="1"/>
  <c r="L119" i="1"/>
  <c r="AE118" i="1"/>
  <c r="AF118" i="1" s="1"/>
  <c r="M118" i="1"/>
  <c r="L118" i="1"/>
  <c r="AE117" i="1"/>
  <c r="AF117" i="1" s="1"/>
  <c r="M117" i="1"/>
  <c r="L117" i="1"/>
  <c r="AE116" i="1"/>
  <c r="AF116" i="1" s="1"/>
  <c r="M116" i="1"/>
  <c r="L116" i="1"/>
  <c r="AE115" i="1"/>
  <c r="AF115" i="1" s="1"/>
  <c r="M115" i="1"/>
  <c r="L115" i="1"/>
  <c r="AE114" i="1"/>
  <c r="AF114" i="1" s="1"/>
  <c r="M114" i="1"/>
  <c r="L114" i="1"/>
  <c r="AE113" i="1"/>
  <c r="AF113" i="1" s="1"/>
  <c r="M113" i="1"/>
  <c r="L113" i="1"/>
  <c r="AE112" i="1"/>
  <c r="AF112" i="1" s="1"/>
  <c r="M112" i="1"/>
  <c r="L112" i="1"/>
  <c r="AE111" i="1"/>
  <c r="AF111" i="1" s="1"/>
  <c r="M111" i="1"/>
  <c r="L111" i="1"/>
  <c r="AE110" i="1"/>
  <c r="AF110" i="1" s="1"/>
  <c r="M110" i="1"/>
  <c r="L110" i="1"/>
  <c r="AE109" i="1"/>
  <c r="AF109" i="1" s="1"/>
  <c r="M109" i="1"/>
  <c r="L109" i="1"/>
  <c r="AE108" i="1"/>
  <c r="AF108" i="1" s="1"/>
  <c r="M108" i="1"/>
  <c r="L108" i="1"/>
  <c r="AE107" i="1"/>
  <c r="AF107" i="1" s="1"/>
  <c r="M107" i="1"/>
  <c r="L107" i="1"/>
  <c r="AE106" i="1"/>
  <c r="AF106" i="1" s="1"/>
  <c r="M106" i="1"/>
  <c r="L106" i="1"/>
  <c r="AE105" i="1"/>
  <c r="AF105" i="1" s="1"/>
  <c r="M105" i="1"/>
  <c r="L105" i="1"/>
  <c r="AE104" i="1"/>
  <c r="AF104" i="1" s="1"/>
  <c r="M104" i="1"/>
  <c r="L104" i="1"/>
  <c r="AE103" i="1"/>
  <c r="AF103" i="1" s="1"/>
  <c r="M103" i="1"/>
  <c r="L103" i="1"/>
  <c r="AE102" i="1"/>
  <c r="AF102" i="1" s="1"/>
  <c r="M102" i="1"/>
  <c r="L102" i="1"/>
  <c r="AE101" i="1"/>
  <c r="AF101" i="1" s="1"/>
  <c r="M101" i="1"/>
  <c r="L101" i="1"/>
  <c r="AE100" i="1"/>
  <c r="AF100" i="1" s="1"/>
  <c r="M100" i="1"/>
  <c r="L100" i="1"/>
  <c r="AE99" i="1"/>
  <c r="AF99" i="1" s="1"/>
  <c r="M99" i="1"/>
  <c r="L99" i="1"/>
  <c r="AE98" i="1"/>
  <c r="AF98" i="1" s="1"/>
  <c r="M98" i="1"/>
  <c r="L98" i="1"/>
  <c r="AE97" i="1"/>
  <c r="AF97" i="1" s="1"/>
  <c r="M97" i="1"/>
  <c r="L97" i="1"/>
  <c r="AE96" i="1"/>
  <c r="AF96" i="1" s="1"/>
  <c r="M96" i="1"/>
  <c r="L96" i="1"/>
  <c r="AE95" i="1"/>
  <c r="AF95" i="1" s="1"/>
  <c r="M95" i="1"/>
  <c r="L95" i="1"/>
  <c r="AE94" i="1"/>
  <c r="AF94" i="1" s="1"/>
  <c r="M94" i="1"/>
  <c r="L94" i="1"/>
  <c r="AE93" i="1"/>
  <c r="AF93" i="1" s="1"/>
  <c r="M93" i="1"/>
  <c r="L93" i="1"/>
  <c r="AE92" i="1"/>
  <c r="AF92" i="1" s="1"/>
  <c r="M92" i="1"/>
  <c r="L92" i="1"/>
  <c r="AE91" i="1"/>
  <c r="AF91" i="1" s="1"/>
  <c r="M91" i="1"/>
  <c r="L91" i="1"/>
  <c r="AE90" i="1"/>
  <c r="AF90" i="1" s="1"/>
  <c r="M90" i="1"/>
  <c r="L90" i="1"/>
  <c r="AE89" i="1"/>
  <c r="AF89" i="1" s="1"/>
  <c r="M89" i="1"/>
  <c r="L89" i="1"/>
  <c r="AE88" i="1"/>
  <c r="AF88" i="1" s="1"/>
  <c r="M88" i="1"/>
  <c r="L88" i="1"/>
  <c r="AE87" i="1"/>
  <c r="AF87" i="1" s="1"/>
  <c r="M87" i="1"/>
  <c r="L87" i="1"/>
  <c r="AE86" i="1"/>
  <c r="AF86" i="1" s="1"/>
  <c r="M86" i="1"/>
  <c r="L86" i="1"/>
  <c r="AE85" i="1"/>
  <c r="AF85" i="1" s="1"/>
  <c r="M85" i="1"/>
  <c r="L85" i="1"/>
  <c r="AE84" i="1"/>
  <c r="AF84" i="1" s="1"/>
  <c r="M84" i="1"/>
  <c r="L84" i="1"/>
  <c r="AE83" i="1"/>
  <c r="AF83" i="1" s="1"/>
  <c r="M83" i="1"/>
  <c r="L83" i="1"/>
  <c r="AE82" i="1"/>
  <c r="AF82" i="1" s="1"/>
  <c r="M82" i="1"/>
  <c r="L82" i="1"/>
  <c r="AE81" i="1"/>
  <c r="AF81" i="1" s="1"/>
  <c r="M81" i="1"/>
  <c r="L81" i="1"/>
  <c r="AE80" i="1"/>
  <c r="AF80" i="1" s="1"/>
  <c r="M80" i="1"/>
  <c r="L80" i="1"/>
  <c r="AE79" i="1"/>
  <c r="AF79" i="1" s="1"/>
  <c r="M79" i="1"/>
  <c r="L79" i="1"/>
  <c r="AE78" i="1"/>
  <c r="AF78" i="1" s="1"/>
  <c r="M78" i="1"/>
  <c r="L78" i="1"/>
  <c r="AE77" i="1"/>
  <c r="AF77" i="1" s="1"/>
  <c r="M77" i="1"/>
  <c r="L77" i="1"/>
  <c r="AE76" i="1"/>
  <c r="AF76" i="1" s="1"/>
  <c r="M76" i="1"/>
  <c r="L76" i="1"/>
  <c r="AE75" i="1"/>
  <c r="AF75" i="1" s="1"/>
  <c r="M75" i="1"/>
  <c r="L75" i="1"/>
  <c r="AE74" i="1"/>
  <c r="AF74" i="1" s="1"/>
  <c r="M74" i="1"/>
  <c r="L74" i="1"/>
  <c r="AE73" i="1"/>
  <c r="AF73" i="1" s="1"/>
  <c r="M73" i="1"/>
  <c r="L73" i="1"/>
  <c r="AE72" i="1"/>
  <c r="AF72" i="1" s="1"/>
  <c r="M72" i="1"/>
  <c r="L72" i="1"/>
  <c r="AE71" i="1"/>
  <c r="AF71" i="1" s="1"/>
  <c r="M71" i="1"/>
  <c r="L71" i="1"/>
  <c r="AE70" i="1"/>
  <c r="AF70" i="1" s="1"/>
  <c r="M70" i="1"/>
  <c r="L70" i="1"/>
  <c r="AF69" i="1"/>
  <c r="AE69" i="1"/>
  <c r="M69" i="1"/>
  <c r="L69" i="1"/>
  <c r="AE68" i="1"/>
  <c r="AF68" i="1" s="1"/>
  <c r="M68" i="1"/>
  <c r="L68" i="1"/>
  <c r="AE67" i="1"/>
  <c r="AF67" i="1" s="1"/>
  <c r="M67" i="1"/>
  <c r="L67" i="1"/>
  <c r="AE66" i="1"/>
  <c r="AF66" i="1" s="1"/>
  <c r="M66" i="1"/>
  <c r="L66" i="1"/>
  <c r="AE65" i="1"/>
  <c r="AF65" i="1" s="1"/>
  <c r="M65" i="1"/>
  <c r="L65" i="1"/>
  <c r="AE64" i="1"/>
  <c r="AF64" i="1" s="1"/>
  <c r="M64" i="1"/>
  <c r="L64" i="1"/>
  <c r="AE63" i="1"/>
  <c r="AF63" i="1" s="1"/>
  <c r="M63" i="1"/>
  <c r="L63" i="1"/>
  <c r="AE62" i="1"/>
  <c r="AF62" i="1" s="1"/>
  <c r="M62" i="1"/>
  <c r="L62" i="1"/>
  <c r="AE61" i="1"/>
  <c r="AF61" i="1" s="1"/>
  <c r="M61" i="1"/>
  <c r="L61" i="1"/>
  <c r="AE60" i="1"/>
  <c r="AF60" i="1" s="1"/>
  <c r="M60" i="1"/>
  <c r="L60" i="1"/>
  <c r="AE59" i="1"/>
  <c r="AF59" i="1" s="1"/>
  <c r="M59" i="1"/>
  <c r="L59" i="1"/>
  <c r="AE58" i="1"/>
  <c r="AF58" i="1" s="1"/>
  <c r="M58" i="1"/>
  <c r="L58" i="1"/>
  <c r="AE57" i="1"/>
  <c r="AF57" i="1" s="1"/>
  <c r="M57" i="1"/>
  <c r="L57" i="1"/>
  <c r="AE56" i="1"/>
  <c r="AF56" i="1" s="1"/>
  <c r="M56" i="1"/>
  <c r="L56" i="1"/>
  <c r="AF55" i="1"/>
  <c r="AE55" i="1"/>
  <c r="M55" i="1"/>
  <c r="L55" i="1"/>
  <c r="AE54" i="1"/>
  <c r="AF54" i="1" s="1"/>
  <c r="M54" i="1"/>
  <c r="L54" i="1"/>
  <c r="AE53" i="1"/>
  <c r="AF53" i="1" s="1"/>
  <c r="M53" i="1"/>
  <c r="L53" i="1"/>
  <c r="AE52" i="1"/>
  <c r="AF52" i="1" s="1"/>
  <c r="M52" i="1"/>
  <c r="L52" i="1"/>
  <c r="AE51" i="1"/>
  <c r="AF51" i="1" s="1"/>
  <c r="M51" i="1"/>
  <c r="L51" i="1"/>
  <c r="AE50" i="1"/>
  <c r="AF50" i="1" s="1"/>
  <c r="M50" i="1"/>
  <c r="L50" i="1"/>
  <c r="AE49" i="1"/>
  <c r="AF49" i="1" s="1"/>
  <c r="M49" i="1"/>
  <c r="L49" i="1"/>
  <c r="AE48" i="1"/>
  <c r="AF48" i="1" s="1"/>
  <c r="M48" i="1"/>
  <c r="L48" i="1"/>
  <c r="AE47" i="1"/>
  <c r="AF47" i="1" s="1"/>
  <c r="M47" i="1"/>
  <c r="L47" i="1"/>
  <c r="AE46" i="1"/>
  <c r="AF46" i="1" s="1"/>
  <c r="M46" i="1"/>
  <c r="L46" i="1"/>
  <c r="AE45" i="1"/>
  <c r="AF45" i="1" s="1"/>
  <c r="M45" i="1"/>
  <c r="L45" i="1"/>
  <c r="AE44" i="1"/>
  <c r="AF44" i="1" s="1"/>
  <c r="M44" i="1"/>
  <c r="L44" i="1"/>
  <c r="AE43" i="1"/>
  <c r="AF43" i="1" s="1"/>
  <c r="M43" i="1"/>
  <c r="L43" i="1"/>
  <c r="AE42" i="1"/>
  <c r="AF42" i="1" s="1"/>
  <c r="M42" i="1"/>
  <c r="L42" i="1"/>
  <c r="AE41" i="1"/>
  <c r="AF41" i="1" s="1"/>
  <c r="M41" i="1"/>
  <c r="L41" i="1"/>
  <c r="AE40" i="1"/>
  <c r="AF40" i="1" s="1"/>
  <c r="M40" i="1"/>
  <c r="L40" i="1"/>
  <c r="AE39" i="1"/>
  <c r="AF39" i="1" s="1"/>
  <c r="M39" i="1"/>
  <c r="L39" i="1"/>
  <c r="AE38" i="1"/>
  <c r="AF38" i="1" s="1"/>
  <c r="M38" i="1"/>
  <c r="L38" i="1"/>
  <c r="AE37" i="1"/>
  <c r="AF37" i="1" s="1"/>
  <c r="M37" i="1"/>
  <c r="L37" i="1"/>
  <c r="AE36" i="1"/>
  <c r="AF36" i="1" s="1"/>
  <c r="M36" i="1"/>
  <c r="L36" i="1"/>
  <c r="AE35" i="1"/>
  <c r="AF35" i="1" s="1"/>
  <c r="M35" i="1"/>
  <c r="L35" i="1"/>
  <c r="AE34" i="1"/>
  <c r="AF34" i="1" s="1"/>
  <c r="M34" i="1"/>
  <c r="L34" i="1"/>
  <c r="AE33" i="1"/>
  <c r="AF33" i="1" s="1"/>
  <c r="M33" i="1"/>
  <c r="L33" i="1"/>
  <c r="AE32" i="1"/>
  <c r="AF32" i="1" s="1"/>
  <c r="M32" i="1"/>
  <c r="L32" i="1"/>
  <c r="AE31" i="1"/>
  <c r="AF31" i="1" s="1"/>
  <c r="M31" i="1"/>
  <c r="L31" i="1"/>
  <c r="AE30" i="1"/>
  <c r="AF30" i="1" s="1"/>
  <c r="M30" i="1"/>
  <c r="L30" i="1"/>
  <c r="AE29" i="1"/>
  <c r="AF29" i="1" s="1"/>
  <c r="M29" i="1"/>
  <c r="L29" i="1"/>
  <c r="AE28" i="1"/>
  <c r="AF28" i="1" s="1"/>
  <c r="M28" i="1"/>
  <c r="L28" i="1"/>
  <c r="AE27" i="1"/>
  <c r="AF27" i="1" s="1"/>
  <c r="M27" i="1"/>
  <c r="L27" i="1"/>
  <c r="AE26" i="1"/>
  <c r="AF26" i="1" s="1"/>
  <c r="M26" i="1"/>
  <c r="L26" i="1"/>
  <c r="AE25" i="1"/>
  <c r="AF25" i="1" s="1"/>
  <c r="M25" i="1"/>
  <c r="L25" i="1"/>
  <c r="AE24" i="1"/>
  <c r="AF24" i="1" s="1"/>
  <c r="M24" i="1"/>
  <c r="L24" i="1"/>
  <c r="AE23" i="1"/>
  <c r="AF23" i="1" s="1"/>
  <c r="M23" i="1"/>
  <c r="L23" i="1"/>
  <c r="AE22" i="1"/>
  <c r="AF22" i="1" s="1"/>
  <c r="M22" i="1"/>
  <c r="L22" i="1"/>
  <c r="AE21" i="1"/>
  <c r="AF21" i="1" s="1"/>
  <c r="M21" i="1"/>
  <c r="L21" i="1"/>
  <c r="AE20" i="1"/>
  <c r="AF20" i="1" s="1"/>
  <c r="M20" i="1"/>
  <c r="L20" i="1"/>
  <c r="AE19" i="1"/>
  <c r="AF19" i="1" s="1"/>
  <c r="M19" i="1"/>
  <c r="L19" i="1"/>
  <c r="AE18" i="1"/>
  <c r="AF18" i="1" s="1"/>
  <c r="M18" i="1"/>
  <c r="L18" i="1"/>
  <c r="AE17" i="1"/>
  <c r="AF17" i="1" s="1"/>
  <c r="M17" i="1"/>
  <c r="L17" i="1"/>
  <c r="AE16" i="1"/>
  <c r="AF16" i="1" s="1"/>
  <c r="M16" i="1"/>
  <c r="L16" i="1"/>
  <c r="AE15" i="1"/>
  <c r="AF15" i="1" s="1"/>
  <c r="M15" i="1"/>
  <c r="L15" i="1"/>
  <c r="AE14" i="1"/>
  <c r="AF14" i="1" s="1"/>
  <c r="M14" i="1"/>
  <c r="L14" i="1"/>
  <c r="AE13" i="1"/>
  <c r="AF13" i="1" s="1"/>
  <c r="M13" i="1"/>
  <c r="L13" i="1"/>
  <c r="AE12" i="1"/>
  <c r="AF12" i="1" s="1"/>
  <c r="M12" i="1"/>
  <c r="L12" i="1"/>
  <c r="AE11" i="1"/>
  <c r="AF11" i="1" s="1"/>
  <c r="M11" i="1"/>
  <c r="L11" i="1"/>
  <c r="AE10" i="1"/>
  <c r="AF10" i="1" s="1"/>
  <c r="M10" i="1"/>
  <c r="L10" i="1"/>
  <c r="AE9" i="1"/>
  <c r="AF9" i="1" s="1"/>
  <c r="M9" i="1"/>
  <c r="L9" i="1"/>
  <c r="AE8" i="1"/>
  <c r="AF8" i="1" s="1"/>
  <c r="M8" i="1"/>
  <c r="L8" i="1"/>
  <c r="AE7" i="1"/>
  <c r="AF7" i="1" s="1"/>
  <c r="M7" i="1"/>
  <c r="L7" i="1"/>
  <c r="AE6" i="1"/>
  <c r="AF6" i="1" s="1"/>
  <c r="M6" i="1"/>
  <c r="L6" i="1"/>
  <c r="AE5" i="1"/>
  <c r="AF5" i="1" s="1"/>
  <c r="M5" i="1"/>
  <c r="L5" i="1"/>
  <c r="AE4" i="1"/>
  <c r="AF4" i="1" s="1"/>
  <c r="M4" i="1"/>
  <c r="L4" i="1"/>
  <c r="AE3" i="1"/>
  <c r="AF3" i="1" s="1"/>
  <c r="M3" i="1"/>
  <c r="L3" i="1"/>
  <c r="AE2" i="1"/>
  <c r="AF2" i="1" s="1"/>
  <c r="M2" i="1"/>
  <c r="L2" i="1"/>
</calcChain>
</file>

<file path=xl/sharedStrings.xml><?xml version="1.0" encoding="utf-8"?>
<sst xmlns="http://schemas.openxmlformats.org/spreadsheetml/2006/main" count="2041" uniqueCount="638">
  <si>
    <t>Invoice_Number</t>
  </si>
  <si>
    <t>Trade_Type</t>
  </si>
  <si>
    <t>Customer_Name</t>
  </si>
  <si>
    <t>Customer_Email</t>
  </si>
  <si>
    <t>Customer_Address</t>
  </si>
  <si>
    <t>Model</t>
  </si>
  <si>
    <t>Model_Description</t>
  </si>
  <si>
    <t>Quantity_Ton</t>
  </si>
  <si>
    <t>Unit_Price_USD</t>
  </si>
  <si>
    <t>Unit_Price_RMB</t>
  </si>
  <si>
    <t>Total_Receivable_USD</t>
  </si>
  <si>
    <t>Total_Receivable_RMB</t>
  </si>
  <si>
    <t>Total_Received_USD</t>
  </si>
  <si>
    <t>Foreign_Bank_Deduction_USD</t>
  </si>
  <si>
    <t>Settlement_RMB</t>
  </si>
  <si>
    <t>Total_Received_RMB</t>
  </si>
  <si>
    <t>Ocean_Freight_Fee</t>
  </si>
  <si>
    <t>Port_Charge</t>
  </si>
  <si>
    <t>Insurance</t>
  </si>
  <si>
    <t>Land_Freight</t>
  </si>
  <si>
    <t>Other_Charge</t>
  </si>
  <si>
    <t>Courier_Fee</t>
  </si>
  <si>
    <t>Handling_Fee</t>
  </si>
  <si>
    <t>Supplier_Name</t>
  </si>
  <si>
    <t>Supplier_Email</t>
  </si>
  <si>
    <t>Supplier_Address</t>
  </si>
  <si>
    <t>Purchase_Invoice_Quantity_Ton</t>
  </si>
  <si>
    <t>Purchase_Invoice_Unit_Price_RMB</t>
  </si>
  <si>
    <t>Purchase_Invoice_Total_RMB</t>
  </si>
  <si>
    <t>Sales_Profit</t>
  </si>
  <si>
    <t>Payment_Date</t>
  </si>
  <si>
    <t>Invoice_Date</t>
  </si>
  <si>
    <t>20-HCCH001</t>
  </si>
  <si>
    <t>Export</t>
  </si>
  <si>
    <t>SummitRidge Group</t>
  </si>
  <si>
    <t>info@summitridgegrp.com</t>
  </si>
  <si>
    <t>Salt Lake City UT USA</t>
  </si>
  <si>
    <t>YCB3211</t>
  </si>
  <si>
    <t>General industrial material with good compatibility.</t>
  </si>
  <si>
    <t>ZenithRise Chemicals</t>
  </si>
  <si>
    <t>info@zenithrise.cn</t>
  </si>
  <si>
    <t>Hangzhou Zhejiang China</t>
  </si>
  <si>
    <t>2020-01-01</t>
  </si>
  <si>
    <t>20-HCCH002</t>
  </si>
  <si>
    <t>ApexNova Chemicals</t>
  </si>
  <si>
    <t>sales@apexnovachem.com</t>
  </si>
  <si>
    <t>Edison NJ USA</t>
  </si>
  <si>
    <t>N774</t>
  </si>
  <si>
    <t>Reinforcing carbon black for rubber applications, offering stable quality.</t>
  </si>
  <si>
    <t>IronRiver Materials</t>
  </si>
  <si>
    <t>sales@ironrivermat.cn</t>
  </si>
  <si>
    <t>Hejin Shanxi China</t>
  </si>
  <si>
    <t>2020-01-03</t>
  </si>
  <si>
    <t>20-HCCH003</t>
  </si>
  <si>
    <t>H1</t>
  </si>
  <si>
    <t>General industrial material supporting uniform results.</t>
  </si>
  <si>
    <t>Hualink Supply Services</t>
  </si>
  <si>
    <t>contact@hualinksupply.cn</t>
  </si>
  <si>
    <t>Beijing China</t>
  </si>
  <si>
    <t>2020-01-06</t>
  </si>
  <si>
    <t>20-HCCH004</t>
  </si>
  <si>
    <t>Edgeway Systems</t>
  </si>
  <si>
    <t>contact@edgewaysys.com</t>
  </si>
  <si>
    <t>Chicago IL USA</t>
  </si>
  <si>
    <t>NestCarbon Industries</t>
  </si>
  <si>
    <t>info@nestcarbon.cn</t>
  </si>
  <si>
    <t>Zibo Shandong China</t>
  </si>
  <si>
    <t>2020-01-08</t>
  </si>
  <si>
    <t>20-HCCH005</t>
  </si>
  <si>
    <t>IdeaSpring Group</t>
  </si>
  <si>
    <t>hello@ideaspringgrp.com</t>
  </si>
  <si>
    <t>San Mateo CA USA</t>
  </si>
  <si>
    <t>N220</t>
  </si>
  <si>
    <t>Reinforcing carbon black for rubber applications, with good compatibility.</t>
  </si>
  <si>
    <t>TriVolt Energy Materials</t>
  </si>
  <si>
    <t>info@trivoltenergy.cn</t>
  </si>
  <si>
    <t>Taiyuan Shanxi China</t>
  </si>
  <si>
    <t>2020-01-11</t>
  </si>
  <si>
    <t>2020-01-04</t>
  </si>
  <si>
    <t>20-HCCH006</t>
  </si>
  <si>
    <t>ForgeLine Manufacturing</t>
  </si>
  <si>
    <t>info@forgeline.com</t>
  </si>
  <si>
    <t>Indianapolis IN USA</t>
  </si>
  <si>
    <t>2020-01-13</t>
  </si>
  <si>
    <t>N330</t>
  </si>
  <si>
    <t>Reinforcing carbon black for rubber applications, for consistent processing.</t>
  </si>
  <si>
    <t>20-HCCH007</t>
  </si>
  <si>
    <t>StrataChem Asia</t>
  </si>
  <si>
    <t>sales@stratachem.my</t>
  </si>
  <si>
    <t>Kuala Lumpur Malaysia</t>
  </si>
  <si>
    <t>130-18P</t>
  </si>
  <si>
    <t>Plastic masterbatch delivering uniform color, with reliable dispersion.</t>
  </si>
  <si>
    <t>BraveCore Chemical</t>
  </si>
  <si>
    <t>office@bravecore.cn</t>
  </si>
  <si>
    <t>Hefei Anhui China</t>
  </si>
  <si>
    <t>2020-01-16</t>
  </si>
  <si>
    <t>2020-01-09</t>
  </si>
  <si>
    <t>20-HCCH008</t>
  </si>
  <si>
    <t>MindBridge Commerce</t>
  </si>
  <si>
    <t>contact@mindbridge.sg</t>
  </si>
  <si>
    <t>Singapore</t>
  </si>
  <si>
    <t>2020-01-18</t>
  </si>
  <si>
    <t>2020-01-07</t>
  </si>
  <si>
    <t>20-HCCH009</t>
  </si>
  <si>
    <t>FusionCore Technologies</t>
  </si>
  <si>
    <t>info@fusioncoretech.com</t>
  </si>
  <si>
    <t>Redwood Shores CA USA</t>
  </si>
  <si>
    <t>LumenRock Industrial</t>
  </si>
  <si>
    <t>sales@lumenrock.cn</t>
  </si>
  <si>
    <t>2020-01-21</t>
  </si>
  <si>
    <t>20-HCCH010</t>
  </si>
  <si>
    <t>2020-01-23</t>
  </si>
  <si>
    <t>2020-01-12</t>
  </si>
  <si>
    <t>20-HCCH011</t>
  </si>
  <si>
    <t>XinAn Industrial Materials</t>
  </si>
  <si>
    <t>contact@xinanmaterials.cn</t>
  </si>
  <si>
    <t>Xiaoyi Shanxi China</t>
  </si>
  <si>
    <t>2020-01-26</t>
  </si>
  <si>
    <t>20-HCCH012</t>
  </si>
  <si>
    <t>HorizonRise Capital</t>
  </si>
  <si>
    <t>admin@horizonrisevc.com</t>
  </si>
  <si>
    <t>San Francisco CA USA</t>
  </si>
  <si>
    <t>2020-01-28</t>
  </si>
  <si>
    <t>20-HCCH013</t>
  </si>
  <si>
    <t>AlbaPure Labs</t>
  </si>
  <si>
    <t>info@albapure.it</t>
  </si>
  <si>
    <t>Milan Italy</t>
  </si>
  <si>
    <t>YFP7560</t>
  </si>
  <si>
    <t>Beston Chemical Group</t>
  </si>
  <si>
    <t>info@bestonchem.cn</t>
  </si>
  <si>
    <t>Jinan Shandong China</t>
  </si>
  <si>
    <t>2020-01-31</t>
  </si>
  <si>
    <t>20-HCCH014</t>
  </si>
  <si>
    <t>Domestic</t>
  </si>
  <si>
    <t>LumaCore Materials</t>
  </si>
  <si>
    <t>sales@lumacore.cn</t>
  </si>
  <si>
    <t>Hangzhou China</t>
  </si>
  <si>
    <t>YCP7300</t>
  </si>
  <si>
    <t>Plastic masterbatch delivering uniform color, with balanced performance.</t>
  </si>
  <si>
    <t>2020-02-02</t>
  </si>
  <si>
    <t>2020-01-24</t>
  </si>
  <si>
    <t>YCP3215</t>
  </si>
  <si>
    <t>20-HCCH015</t>
  </si>
  <si>
    <t>N550</t>
  </si>
  <si>
    <t>TengCore Fine Chemicals</t>
  </si>
  <si>
    <t>sales@tengcore.cn</t>
  </si>
  <si>
    <t>Weifang Shandong China</t>
  </si>
  <si>
    <t>2020-02-05</t>
  </si>
  <si>
    <t>2020-01-25</t>
  </si>
  <si>
    <t>20-HCCH016</t>
  </si>
  <si>
    <t>Nexera Chemicals</t>
  </si>
  <si>
    <t>hello@nexerachem.com</t>
  </si>
  <si>
    <t>Pasadena CA USA</t>
  </si>
  <si>
    <t>2020-02-07</t>
  </si>
  <si>
    <t>2020-01-30</t>
  </si>
  <si>
    <t>20-HCCH017</t>
  </si>
  <si>
    <t>OrionGate Holdings</t>
  </si>
  <si>
    <t>info@oriongate.com</t>
  </si>
  <si>
    <t>New York NY USA</t>
  </si>
  <si>
    <t>2020-02-10</t>
  </si>
  <si>
    <t>20-HCCH018</t>
  </si>
  <si>
    <t>FormosaChem Corp</t>
  </si>
  <si>
    <t>info@formosachem.tw</t>
  </si>
  <si>
    <t>Taipei Taiwan</t>
  </si>
  <si>
    <t>2020-02-12</t>
  </si>
  <si>
    <t>20-HCCH019</t>
  </si>
  <si>
    <t>NovaSphere Systems</t>
  </si>
  <si>
    <t>contact@novasphere.com</t>
  </si>
  <si>
    <t>Sunnyvale CA USA</t>
  </si>
  <si>
    <t>2020-02-15</t>
  </si>
  <si>
    <t>20-HCCH020</t>
  </si>
  <si>
    <t>SpectrumForge Tech</t>
  </si>
  <si>
    <t>info@spectrumforge.com</t>
  </si>
  <si>
    <t>San Jose CA USA</t>
  </si>
  <si>
    <t>2020-02-17</t>
  </si>
  <si>
    <t>2020-02-06</t>
  </si>
  <si>
    <t>20-HCCH021</t>
  </si>
  <si>
    <t>2020-02-20</t>
  </si>
  <si>
    <t>20-HCCH022</t>
  </si>
  <si>
    <t>LotusGate Trading</t>
  </si>
  <si>
    <t>office@lotusgate.cn</t>
  </si>
  <si>
    <t>Shanghai China</t>
  </si>
  <si>
    <t>YCP3213</t>
  </si>
  <si>
    <t>Plastic masterbatch delivering uniform color, with good compatibility.</t>
  </si>
  <si>
    <t>2020-02-22</t>
  </si>
  <si>
    <t>2020-02-14</t>
  </si>
  <si>
    <t>20-HCCH024</t>
  </si>
  <si>
    <t>2020-02-25</t>
  </si>
  <si>
    <t>20-HCCH026</t>
  </si>
  <si>
    <t>2020-02-27</t>
  </si>
  <si>
    <t>2020-02-16</t>
  </si>
  <si>
    <t>20-HCCH027</t>
  </si>
  <si>
    <t>PolyVista Group</t>
  </si>
  <si>
    <t>contact@polyvista.com</t>
  </si>
  <si>
    <t>Columbus OH USA</t>
  </si>
  <si>
    <t>2020-03-01</t>
  </si>
  <si>
    <t>2020-02-18</t>
  </si>
  <si>
    <t>20-HCCH028</t>
  </si>
  <si>
    <t>OpalEdge Commerce</t>
  </si>
  <si>
    <t>contact@opaledge.com</t>
  </si>
  <si>
    <t>2020-03-03</t>
  </si>
  <si>
    <t>20-HCCH029</t>
  </si>
  <si>
    <t>Chromix Labs</t>
  </si>
  <si>
    <t>info@chromixlabs.com</t>
  </si>
  <si>
    <t>Burbank CA USA</t>
  </si>
  <si>
    <t>YFP3018</t>
  </si>
  <si>
    <t>Plastic masterbatch delivering uniform color, with efficient performance.</t>
  </si>
  <si>
    <t>2020-03-06</t>
  </si>
  <si>
    <t>2020-02-21</t>
  </si>
  <si>
    <t>20-HCCH030</t>
  </si>
  <si>
    <t>PacificMomentum Tech</t>
  </si>
  <si>
    <t>info@pacificmomentum.cn</t>
  </si>
  <si>
    <t>2020-03-08</t>
  </si>
  <si>
    <t>2020-02-24</t>
  </si>
  <si>
    <t>20-HCCH031</t>
  </si>
  <si>
    <t>Inkora Solutions</t>
  </si>
  <si>
    <t>contact@inkora.de</t>
  </si>
  <si>
    <t>Dusseldorf Germany</t>
  </si>
  <si>
    <t>2020-03-11</t>
  </si>
  <si>
    <t>2020-02-28</t>
  </si>
  <si>
    <t>20-HCCH032</t>
  </si>
  <si>
    <t>2020-03-14</t>
  </si>
  <si>
    <t>2020-03-04</t>
  </si>
  <si>
    <t>20-HCCH033</t>
  </si>
  <si>
    <t>VividCore Coatings</t>
  </si>
  <si>
    <t>info@vividcore.ca</t>
  </si>
  <si>
    <t>Oakville Canada</t>
  </si>
  <si>
    <t>YCP3212</t>
  </si>
  <si>
    <t>Plastic masterbatch delivering uniform color, offering stable quality.</t>
  </si>
  <si>
    <t>2020-03-16</t>
  </si>
  <si>
    <t>20-HCCH035</t>
  </si>
  <si>
    <t>HarmonyPeak Capital</t>
  </si>
  <si>
    <t>info@harmonypeakvc.com</t>
  </si>
  <si>
    <t>Palo Alto CA USA</t>
  </si>
  <si>
    <t>CB-7565</t>
  </si>
  <si>
    <t>2020-03-19</t>
  </si>
  <si>
    <t>2020-03-12</t>
  </si>
  <si>
    <t>20-HCCH036</t>
  </si>
  <si>
    <t>SilverPeak Materials</t>
  </si>
  <si>
    <t>info@silverpeak.cn</t>
  </si>
  <si>
    <t>Nanjing China</t>
  </si>
  <si>
    <t>2020-03-21</t>
  </si>
  <si>
    <t>20-HCCH037</t>
  </si>
  <si>
    <t>Flexora Polymers</t>
  </si>
  <si>
    <t>info@flexora.it</t>
  </si>
  <si>
    <t>Bergamo Italy</t>
  </si>
  <si>
    <t>2020-03-24</t>
  </si>
  <si>
    <t>20-HCCH038</t>
  </si>
  <si>
    <t>VertexGrowth Trading</t>
  </si>
  <si>
    <t>contact@vertexgrowth.sg</t>
  </si>
  <si>
    <t>2020-03-26</t>
  </si>
  <si>
    <t>20-HCCH039</t>
  </si>
  <si>
    <t>2020-03-29</t>
  </si>
  <si>
    <t>2020-03-20</t>
  </si>
  <si>
    <t>20-HCCH040</t>
  </si>
  <si>
    <t>2020-03-31</t>
  </si>
  <si>
    <t>20-HCCH041</t>
  </si>
  <si>
    <t>2020-04-03</t>
  </si>
  <si>
    <t>2020-03-22</t>
  </si>
  <si>
    <t>20-HCCH042</t>
  </si>
  <si>
    <t>Chromatek Materials</t>
  </si>
  <si>
    <t>sales@chromatek.cn</t>
  </si>
  <si>
    <t>Huzhou China</t>
  </si>
  <si>
    <t>2020-04-05</t>
  </si>
  <si>
    <t>2020-03-27</t>
  </si>
  <si>
    <t>20-HCCH043</t>
  </si>
  <si>
    <t>PolyEdge Engineering</t>
  </si>
  <si>
    <t>info@polyedgeeng.com</t>
  </si>
  <si>
    <t>Troy MI USA</t>
  </si>
  <si>
    <t>2020-04-08</t>
  </si>
  <si>
    <t>2020-03-30</t>
  </si>
  <si>
    <t>20-HCCH044</t>
  </si>
  <si>
    <t>2020-04-10</t>
  </si>
  <si>
    <t>2020-04-01</t>
  </si>
  <si>
    <t>20-HCCH045</t>
  </si>
  <si>
    <t>2020-04-13</t>
  </si>
  <si>
    <t>20-HCCH046</t>
  </si>
  <si>
    <t>2020-04-15</t>
  </si>
  <si>
    <t>2020-04-02</t>
  </si>
  <si>
    <t>20-HCCH047</t>
  </si>
  <si>
    <t>2020-04-18</t>
  </si>
  <si>
    <t>20-HCCH048</t>
  </si>
  <si>
    <t>2020-04-20</t>
  </si>
  <si>
    <t>20-HCCH049</t>
  </si>
  <si>
    <t>PhoenixGate Trading</t>
  </si>
  <si>
    <t>office@phoenixgate.cn</t>
  </si>
  <si>
    <t>2020-04-23</t>
  </si>
  <si>
    <t>20-HCCH050</t>
  </si>
  <si>
    <t>2020-04-25</t>
  </si>
  <si>
    <t>20-HCCH051</t>
  </si>
  <si>
    <t>2020-04-28</t>
  </si>
  <si>
    <t>2020-04-16</t>
  </si>
  <si>
    <t>20-HCCH052</t>
  </si>
  <si>
    <t>RiverRise Industries</t>
  </si>
  <si>
    <t>info@riverrise.vn</t>
  </si>
  <si>
    <t>Ho Chi Minh City Vietnam</t>
  </si>
  <si>
    <t>2020-04-30</t>
  </si>
  <si>
    <t>2020-04-22</t>
  </si>
  <si>
    <t>20-HCCH053</t>
  </si>
  <si>
    <t>RuiPort Commerce</t>
  </si>
  <si>
    <t>info@ruiport.cn</t>
  </si>
  <si>
    <t>2020-05-03</t>
  </si>
  <si>
    <t>2020-04-19</t>
  </si>
  <si>
    <t>20-HCCH054</t>
  </si>
  <si>
    <t>JadeAxis Industries</t>
  </si>
  <si>
    <t>contact@jadeaxis.cn</t>
  </si>
  <si>
    <t>Changzhou China</t>
  </si>
  <si>
    <t>2020-05-05</t>
  </si>
  <si>
    <t>20-HCCH055</t>
  </si>
  <si>
    <t>2020-05-08</t>
  </si>
  <si>
    <t>20-HCCH056</t>
  </si>
  <si>
    <t>2020-05-10</t>
  </si>
  <si>
    <t>2020-05-01</t>
  </si>
  <si>
    <t>CentralField Chemicals</t>
  </si>
  <si>
    <t>contact@centralfieldchem.cn</t>
  </si>
  <si>
    <t>Qingzhou Shandong China</t>
  </si>
  <si>
    <t>2020-05-13</t>
  </si>
  <si>
    <t>20-HCCH057</t>
  </si>
  <si>
    <t>2020-05-15</t>
  </si>
  <si>
    <t>20-HCCH058</t>
  </si>
  <si>
    <t>2020-05-18</t>
  </si>
  <si>
    <t>20-HCCH059</t>
  </si>
  <si>
    <t>2020-05-20</t>
  </si>
  <si>
    <t>20-HCCH060</t>
  </si>
  <si>
    <t>2020-05-23</t>
  </si>
  <si>
    <t>2020-05-16</t>
  </si>
  <si>
    <t>20-HCCH061</t>
  </si>
  <si>
    <t>CanopyTech Solutions</t>
  </si>
  <si>
    <t>contact@canopytech.cn</t>
  </si>
  <si>
    <t>2020-05-26</t>
  </si>
  <si>
    <t>20-HCCH062</t>
  </si>
  <si>
    <t>2020-05-28</t>
  </si>
  <si>
    <t>20-HCCH063</t>
  </si>
  <si>
    <t>2020-05-31</t>
  </si>
  <si>
    <t>20-HCCH064</t>
  </si>
  <si>
    <t>2020-06-02</t>
  </si>
  <si>
    <t>20-HCCH065</t>
  </si>
  <si>
    <t>2020-06-05</t>
  </si>
  <si>
    <t>2020-05-24</t>
  </si>
  <si>
    <t>20-HCCH066</t>
  </si>
  <si>
    <t>2020-06-07</t>
  </si>
  <si>
    <t>2020-05-29</t>
  </si>
  <si>
    <t>20-HCCH067</t>
  </si>
  <si>
    <t>SakuraTone Co.</t>
  </si>
  <si>
    <t>info@sakuratone.jp</t>
  </si>
  <si>
    <t>Tokyo Japan</t>
  </si>
  <si>
    <t>2020-06-10</t>
  </si>
  <si>
    <t>20-HCCH068</t>
  </si>
  <si>
    <t>Archipelago Craftworks</t>
  </si>
  <si>
    <t>info@archipelagocraft.id</t>
  </si>
  <si>
    <t>Jakarta Indonesia</t>
  </si>
  <si>
    <t>2020-06-12</t>
  </si>
  <si>
    <t>2020-06-03</t>
  </si>
  <si>
    <t>20-HCCH069</t>
  </si>
  <si>
    <t>LinkCore Chemical</t>
  </si>
  <si>
    <t>office@linkcorechem.eu</t>
  </si>
  <si>
    <t>Brno Czech Republic</t>
  </si>
  <si>
    <t>2020-06-15</t>
  </si>
  <si>
    <t>20-HCCH070</t>
  </si>
  <si>
    <t>2020-06-17</t>
  </si>
  <si>
    <t>2020-06-06</t>
  </si>
  <si>
    <t>20-HCCH071</t>
  </si>
  <si>
    <t>GloVantage Labs</t>
  </si>
  <si>
    <t>info@glovantage.com</t>
  </si>
  <si>
    <t>Cambridge MA USA</t>
  </si>
  <si>
    <t>2020-06-20</t>
  </si>
  <si>
    <t>20-HCCH072</t>
  </si>
  <si>
    <t>BridgeLink Sales</t>
  </si>
  <si>
    <t>contact@bridgelinksales.com</t>
  </si>
  <si>
    <t>2020-06-22</t>
  </si>
  <si>
    <t>20-HCCH073</t>
  </si>
  <si>
    <t>MarinerStone Group</t>
  </si>
  <si>
    <t>contact@marinerstone.cn</t>
  </si>
  <si>
    <t>Xiamen China</t>
  </si>
  <si>
    <t>FR6830P</t>
  </si>
  <si>
    <t>2020-06-25</t>
  </si>
  <si>
    <t>2020-06-13</t>
  </si>
  <si>
    <t>20-HCCH074</t>
  </si>
  <si>
    <t>HarborTreasure Arts</t>
  </si>
  <si>
    <t>info@harbortreasure.cn</t>
  </si>
  <si>
    <t>Qingdao China</t>
  </si>
  <si>
    <t>BlackHorse Carbon</t>
  </si>
  <si>
    <t>office@blackhorsecarbon.cn</t>
  </si>
  <si>
    <t>Changzhi Shanxi China</t>
  </si>
  <si>
    <t>2020-06-27</t>
  </si>
  <si>
    <t>20-HCCH075</t>
  </si>
  <si>
    <t>HelixTrade Group</t>
  </si>
  <si>
    <t>info@helixtrade.com</t>
  </si>
  <si>
    <t>Boston MA USA</t>
  </si>
  <si>
    <t>2020-06-30</t>
  </si>
  <si>
    <t>20-HCCH076</t>
  </si>
  <si>
    <t>2020-07-02</t>
  </si>
  <si>
    <t>2020-06-21</t>
  </si>
  <si>
    <t>20-HCCH077</t>
  </si>
  <si>
    <t>2020-07-05</t>
  </si>
  <si>
    <t>2020-06-23</t>
  </si>
  <si>
    <t>20-HCCH078</t>
  </si>
  <si>
    <t>CloudHue Coatings</t>
  </si>
  <si>
    <t>info@cloudhue.com</t>
  </si>
  <si>
    <t>Denver CO USA</t>
  </si>
  <si>
    <t>2020-07-07</t>
  </si>
  <si>
    <t>2020-06-28</t>
  </si>
  <si>
    <t>20-HCCH079</t>
  </si>
  <si>
    <t>2020-07-10</t>
  </si>
  <si>
    <t>2020-06-29</t>
  </si>
  <si>
    <t>20-HCCH080</t>
  </si>
  <si>
    <t>2020-07-12</t>
  </si>
  <si>
    <t>20-HCCH081</t>
  </si>
  <si>
    <t>2020-07-15</t>
  </si>
  <si>
    <t>20-HCCH082</t>
  </si>
  <si>
    <t>2020-07-17</t>
  </si>
  <si>
    <t>20-HCCH083</t>
  </si>
  <si>
    <t>2020-07-20</t>
  </si>
  <si>
    <t>2020-07-11</t>
  </si>
  <si>
    <t>20-HCCH084</t>
  </si>
  <si>
    <t>UnityFiber Paper</t>
  </si>
  <si>
    <t>office@unityfiber.cn</t>
  </si>
  <si>
    <t>Weifang China</t>
  </si>
  <si>
    <t>2020-07-22</t>
  </si>
  <si>
    <t>20-HCCH085</t>
  </si>
  <si>
    <t>IronRiver Materials (Direct)</t>
  </si>
  <si>
    <t>contact@ironrivermat.cn</t>
  </si>
  <si>
    <t>2020-07-25</t>
  </si>
  <si>
    <t>2020-07-14</t>
  </si>
  <si>
    <t>20-HCCH086</t>
  </si>
  <si>
    <t>2020-07-27</t>
  </si>
  <si>
    <t>2020-07-16</t>
  </si>
  <si>
    <t>20-HCCH087</t>
  </si>
  <si>
    <t>GenAxis Technologies</t>
  </si>
  <si>
    <t>contact@genaxis.com</t>
  </si>
  <si>
    <t>Redwood City CA USA</t>
  </si>
  <si>
    <t>2020-07-30</t>
  </si>
  <si>
    <t>2020-07-19</t>
  </si>
  <si>
    <t>20-HCCH088</t>
  </si>
  <si>
    <t>2020-08-01</t>
  </si>
  <si>
    <t>2020-07-18</t>
  </si>
  <si>
    <t>20-HCCH089</t>
  </si>
  <si>
    <t>IronFalcon Systems</t>
  </si>
  <si>
    <t>info@ironfalcontech.sk</t>
  </si>
  <si>
    <t>Bratislava Slovakia</t>
  </si>
  <si>
    <t>2020-08-04</t>
  </si>
  <si>
    <t>2020-07-24</t>
  </si>
  <si>
    <t>20-HCCH090</t>
  </si>
  <si>
    <t>2020-08-07</t>
  </si>
  <si>
    <t>2020-07-26</t>
  </si>
  <si>
    <t>20-HCCH091</t>
  </si>
  <si>
    <t>2020-08-09</t>
  </si>
  <si>
    <t>20-HCCH092</t>
  </si>
  <si>
    <t>ExactaForge</t>
  </si>
  <si>
    <t>sales@exactaforge.com</t>
  </si>
  <si>
    <t>Cleveland OH USA</t>
  </si>
  <si>
    <t>2020-08-12</t>
  </si>
  <si>
    <t>20-HCCH093</t>
  </si>
  <si>
    <t>Decai Global Trade</t>
  </si>
  <si>
    <t>info@decaiglobal.cn</t>
  </si>
  <si>
    <t>Chengdu Sichuan China</t>
  </si>
  <si>
    <t>2020-08-14</t>
  </si>
  <si>
    <t>2020-08-02</t>
  </si>
  <si>
    <t>20-HCCH094</t>
  </si>
  <si>
    <t>KusumaBridge Trading</t>
  </si>
  <si>
    <t>info@kusumabridge.id</t>
  </si>
  <si>
    <t>2020-08-17</t>
  </si>
  <si>
    <t>20-HCCH095</t>
  </si>
  <si>
    <t>DualAxis Systems</t>
  </si>
  <si>
    <t>info@dualaxis.com</t>
  </si>
  <si>
    <t>Cincinnati OH USA</t>
  </si>
  <si>
    <t>2020-08-19</t>
  </si>
  <si>
    <t>2020-08-08</t>
  </si>
  <si>
    <t>20-HCCH096</t>
  </si>
  <si>
    <t>NorthBridge Ventures</t>
  </si>
  <si>
    <t>admin@northbridgevc.ae</t>
  </si>
  <si>
    <t>Dubai UAE</t>
  </si>
  <si>
    <t>2020-08-22</t>
  </si>
  <si>
    <t>2020-08-10</t>
  </si>
  <si>
    <t>20-HCCH097</t>
  </si>
  <si>
    <t>2020-08-24</t>
  </si>
  <si>
    <t>20-HCCH098</t>
  </si>
  <si>
    <t>NordHaven Innovations</t>
  </si>
  <si>
    <t>info@nordhaven.se</t>
  </si>
  <si>
    <t>Stockholm Sweden</t>
  </si>
  <si>
    <t>2020-08-27</t>
  </si>
  <si>
    <t>2020-08-15</t>
  </si>
  <si>
    <t>20-HCCH100</t>
  </si>
  <si>
    <t>InterNova Chemicals</t>
  </si>
  <si>
    <t>sales@internovachem.com</t>
  </si>
  <si>
    <t>Newark NJ USA</t>
  </si>
  <si>
    <t>2020-08-29</t>
  </si>
  <si>
    <t>20-HCCH101</t>
  </si>
  <si>
    <t>2020-09-01</t>
  </si>
  <si>
    <t>2020-08-21</t>
  </si>
  <si>
    <t>20-HCCH102</t>
  </si>
  <si>
    <t>2020-09-03</t>
  </si>
  <si>
    <t>2020-08-26</t>
  </si>
  <si>
    <t>20-HCCH103</t>
  </si>
  <si>
    <t>2020-09-06</t>
  </si>
  <si>
    <t>20-HCCH104</t>
  </si>
  <si>
    <t>2020-09-08</t>
  </si>
  <si>
    <t>20-HCCH105</t>
  </si>
  <si>
    <t>Haolong Energy Materials</t>
  </si>
  <si>
    <t>sales@haolongenergy.cn</t>
  </si>
  <si>
    <t>2020-09-11</t>
  </si>
  <si>
    <t>2020-09-04</t>
  </si>
  <si>
    <t>20-HCCH106</t>
  </si>
  <si>
    <t>2020-09-13</t>
  </si>
  <si>
    <t>2020-08-30</t>
  </si>
  <si>
    <t>20-HCCH107</t>
  </si>
  <si>
    <t>2020-09-16</t>
  </si>
  <si>
    <t>2020-09-02</t>
  </si>
  <si>
    <t>20-HCCH108</t>
  </si>
  <si>
    <t>2020-09-18</t>
  </si>
  <si>
    <t>20-HCCH109</t>
  </si>
  <si>
    <t>AtlasPlast Materials</t>
  </si>
  <si>
    <t>info@atlasplast.ma</t>
  </si>
  <si>
    <t>Casablanca Morocco</t>
  </si>
  <si>
    <t>2020-09-21</t>
  </si>
  <si>
    <t>20-HCCH111A</t>
  </si>
  <si>
    <t>2020-09-23</t>
  </si>
  <si>
    <t>2020-09-12</t>
  </si>
  <si>
    <t>20-HCCH111B</t>
  </si>
  <si>
    <t>2020-09-26</t>
  </si>
  <si>
    <t>2020-09-17</t>
  </si>
  <si>
    <t>2020-09-28</t>
  </si>
  <si>
    <t>20-HCCH112</t>
  </si>
  <si>
    <t>UnityForge Corp</t>
  </si>
  <si>
    <t>contact@unityforge.com</t>
  </si>
  <si>
    <t>Akron OH USA</t>
  </si>
  <si>
    <t>2020-10-01</t>
  </si>
  <si>
    <t>2020-09-20</t>
  </si>
  <si>
    <t>20-HCCH114</t>
  </si>
  <si>
    <t>2020-10-03</t>
  </si>
  <si>
    <t>20-HCCH115</t>
  </si>
  <si>
    <t>WrapLogic Corp</t>
  </si>
  <si>
    <t>sales@wraplogic.com</t>
  </si>
  <si>
    <t>Charlotte NC USA</t>
  </si>
  <si>
    <t>2020-10-06</t>
  </si>
  <si>
    <t>2020-09-22</t>
  </si>
  <si>
    <t>YuTone Pigments</t>
  </si>
  <si>
    <t>info@yutonepigments.cn</t>
  </si>
  <si>
    <t>2020-10-08</t>
  </si>
  <si>
    <t>Red 57:1</t>
  </si>
  <si>
    <t>Color pigment with strong tinting strength, for versatile applications.</t>
  </si>
  <si>
    <t>Violet 23</t>
  </si>
  <si>
    <t>Color pigment with strong tinting strength, offering stable quality.</t>
  </si>
  <si>
    <t>20-HCCH117</t>
  </si>
  <si>
    <t>Meridian &amp; Alder Ventures</t>
  </si>
  <si>
    <t>info@meridianalder.com</t>
  </si>
  <si>
    <t>2020-10-11</t>
  </si>
  <si>
    <t>2020-10-02</t>
  </si>
  <si>
    <t>20-HCCH118</t>
  </si>
  <si>
    <t>2020-10-13</t>
  </si>
  <si>
    <t>20-HCCH119</t>
  </si>
  <si>
    <t>2020-10-16</t>
  </si>
  <si>
    <t>20-HCCH120</t>
  </si>
  <si>
    <t>StarKite Innovations</t>
  </si>
  <si>
    <t>info@starkite.com</t>
  </si>
  <si>
    <t>Austin TX USA</t>
  </si>
  <si>
    <t>2020-10-19</t>
  </si>
  <si>
    <t>2020-10-05</t>
  </si>
  <si>
    <t>20-HCCH121</t>
  </si>
  <si>
    <t>2020-10-21</t>
  </si>
  <si>
    <t>20-HCCH122</t>
  </si>
  <si>
    <t>2020-10-24</t>
  </si>
  <si>
    <t>20-HCCH123</t>
  </si>
  <si>
    <t>2020-10-26</t>
  </si>
  <si>
    <t>20-HCCH124</t>
  </si>
  <si>
    <t>2020-10-29</t>
  </si>
  <si>
    <t>2020-10-15</t>
  </si>
  <si>
    <t>20-HCCH125</t>
  </si>
  <si>
    <t>2020-10-31</t>
  </si>
  <si>
    <t>2020-10-18</t>
  </si>
  <si>
    <t>20-HCCH126</t>
  </si>
  <si>
    <t>2020-11-03</t>
  </si>
  <si>
    <t>20-HCCH127</t>
  </si>
  <si>
    <t>2020-11-05</t>
  </si>
  <si>
    <t>2020-10-23</t>
  </si>
  <si>
    <t>20-HCCH128</t>
  </si>
  <si>
    <t>2020-11-08</t>
  </si>
  <si>
    <t>2020-10-30</t>
  </si>
  <si>
    <t>20-HCCH129</t>
  </si>
  <si>
    <t>2020-11-10</t>
  </si>
  <si>
    <t>20-HCCH130</t>
  </si>
  <si>
    <t>2020-11-13</t>
  </si>
  <si>
    <t>20-HCCH131</t>
  </si>
  <si>
    <t>2020-11-15</t>
  </si>
  <si>
    <t>2020-11-01</t>
  </si>
  <si>
    <t>20-HCCH132</t>
  </si>
  <si>
    <t>2020-11-18</t>
  </si>
  <si>
    <t>2020-11-06</t>
  </si>
  <si>
    <t>20-HCCH133</t>
  </si>
  <si>
    <t>2020-11-20</t>
  </si>
  <si>
    <t>2020-11-09</t>
  </si>
  <si>
    <t>20-HCCH134</t>
  </si>
  <si>
    <t>2020-11-23</t>
  </si>
  <si>
    <t>2020-11-16</t>
  </si>
  <si>
    <t>20-HCCH135</t>
  </si>
  <si>
    <t>2020-11-25</t>
  </si>
  <si>
    <t>20-HCCH136</t>
  </si>
  <si>
    <t>2020-11-28</t>
  </si>
  <si>
    <t>20-HCCH137</t>
  </si>
  <si>
    <t>2020-11-30</t>
  </si>
  <si>
    <t>20-HCCH139</t>
  </si>
  <si>
    <t>2020-12-03</t>
  </si>
  <si>
    <t>20-HCCH140</t>
  </si>
  <si>
    <t>2020-12-05</t>
  </si>
  <si>
    <t>20-HCCH141</t>
  </si>
  <si>
    <t>2020-12-08</t>
  </si>
  <si>
    <t>2020-11-29</t>
  </si>
  <si>
    <t>20-HCCH142</t>
  </si>
  <si>
    <t>EasternDelta Group</t>
  </si>
  <si>
    <t>info@easterndelta.hk</t>
  </si>
  <si>
    <t>Hong Kong</t>
  </si>
  <si>
    <t>2020-12-10</t>
  </si>
  <si>
    <t>20-HCCH143</t>
  </si>
  <si>
    <t>2020-12-13</t>
  </si>
  <si>
    <t>2020-12-01</t>
  </si>
  <si>
    <t>20-HCCH144</t>
  </si>
  <si>
    <t>2020-12-15</t>
  </si>
  <si>
    <t>20-HCCH145</t>
  </si>
  <si>
    <t>AscendTech Vietnam</t>
  </si>
  <si>
    <t>info@ascendtech.vn</t>
  </si>
  <si>
    <t>Hanoi Vietnam</t>
  </si>
  <si>
    <t>2020-12-18</t>
  </si>
  <si>
    <t>2020-12-11</t>
  </si>
  <si>
    <t>20-HCCH146</t>
  </si>
  <si>
    <t>2020-12-20</t>
  </si>
  <si>
    <t>20-HCCH147</t>
  </si>
  <si>
    <t>2020-12-23</t>
  </si>
  <si>
    <t>20-HCCH148</t>
  </si>
  <si>
    <t>2020-12-25</t>
  </si>
  <si>
    <t>2020-12-12</t>
  </si>
  <si>
    <t>20-HCCH149</t>
  </si>
  <si>
    <t>AuroraCoat Industries</t>
  </si>
  <si>
    <t>info@auroracoat.ca</t>
  </si>
  <si>
    <t>Mississauga Canada</t>
  </si>
  <si>
    <t>2020-12-28</t>
  </si>
  <si>
    <t>20-HCCH151</t>
  </si>
  <si>
    <t>2020-12-31</t>
  </si>
  <si>
    <t>2020-12-19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</si>
</sst>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3"/>
  <sheetViews>
    <sheetView tabSelected="1" workbookViewId="0">
      <selection activeCell="AF2" sqref="AF2"/>
    </sheetView>
  </sheetViews>
  <sheetFormatPr baseColWidth="10" defaultRowHeight="16" x14ac:dyDescent="0.2"/>
  <cols>
    <col min="1" max="1" width="14.33203125" bestFit="1" customWidth="1"/>
    <col min="4" max="4" width="22.1640625" bestFit="1" customWidth="1"/>
    <col min="5" max="5" width="27" bestFit="1" customWidth="1"/>
    <col min="6" max="6" width="22" bestFit="1" customWidth="1"/>
    <col min="8" max="8" width="16" customWidth="1"/>
    <col min="9" max="9" width="11.83203125" bestFit="1" customWidth="1"/>
    <col min="10" max="10" width="13.83203125" bestFit="1" customWidth="1"/>
    <col min="11" max="11" width="14.1640625" bestFit="1" customWidth="1"/>
    <col min="12" max="12" width="19.5" customWidth="1"/>
    <col min="13" max="13" width="19.83203125" bestFit="1" customWidth="1"/>
    <col min="14" max="14" width="18" bestFit="1" customWidth="1"/>
    <col min="15" max="15" width="26" bestFit="1" customWidth="1"/>
    <col min="16" max="16" width="14.83203125" bestFit="1" customWidth="1"/>
    <col min="17" max="17" width="18.33203125" bestFit="1" customWidth="1"/>
    <col min="19" max="19" width="17" bestFit="1" customWidth="1"/>
    <col min="23" max="23" width="12.5" bestFit="1" customWidth="1"/>
    <col min="24" max="24" width="11.1640625" bestFit="1" customWidth="1"/>
    <col min="25" max="25" width="12.1640625" bestFit="1" customWidth="1"/>
    <col min="26" max="26" width="24.33203125" bestFit="1" customWidth="1"/>
    <col min="29" max="29" width="18.6640625" bestFit="1" customWidth="1"/>
    <col min="30" max="30" width="21" bestFit="1" customWidth="1"/>
    <col min="31" max="31" width="16.6640625" customWidth="1"/>
  </cols>
  <sheetData>
    <row r="1" spans="1:32" x14ac:dyDescent="0.2">
      <c r="A1" t="s">
        <v>0</v>
      </c>
      <c r="B1" t="s">
        <v>1</v>
      </c>
      <c r="C1" t="s">
        <v>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30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">
      <c r="A2" t="s">
        <v>32</v>
      </c>
      <c r="B2" t="s">
        <v>33</v>
      </c>
      <c r="C2" s="2" t="s">
        <v>42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>
        <v>1.5</v>
      </c>
      <c r="J2">
        <v>2500</v>
      </c>
      <c r="K2">
        <v>0</v>
      </c>
      <c r="L2">
        <f t="shared" ref="L2:L33" si="0">I2*J2</f>
        <v>3750</v>
      </c>
      <c r="M2">
        <f t="shared" ref="M2:M33" si="1">I2*K2</f>
        <v>0</v>
      </c>
      <c r="N2">
        <v>3590</v>
      </c>
      <c r="O2">
        <v>160</v>
      </c>
      <c r="P2">
        <v>25349.25</v>
      </c>
      <c r="Q2">
        <v>0</v>
      </c>
      <c r="R2" s="1" t="s">
        <v>42</v>
      </c>
      <c r="S2">
        <v>0</v>
      </c>
      <c r="T2">
        <v>660</v>
      </c>
      <c r="U2">
        <v>0</v>
      </c>
      <c r="V2">
        <v>0</v>
      </c>
      <c r="W2">
        <v>65</v>
      </c>
      <c r="X2">
        <v>0</v>
      </c>
      <c r="Y2">
        <v>535</v>
      </c>
      <c r="Z2" t="s">
        <v>39</v>
      </c>
      <c r="AA2" t="s">
        <v>40</v>
      </c>
      <c r="AB2" t="s">
        <v>41</v>
      </c>
      <c r="AC2">
        <v>1.5</v>
      </c>
      <c r="AD2">
        <v>14000</v>
      </c>
      <c r="AE2">
        <f t="shared" ref="AE2:AE33" si="2">AC2*AD2</f>
        <v>21000</v>
      </c>
      <c r="AF2">
        <f t="shared" ref="AF2:AF33" si="3">P2+Q2-S2-T2-U2-V2-W2-X2-Y2-AE2</f>
        <v>3089.25</v>
      </c>
    </row>
    <row r="3" spans="1:32" x14ac:dyDescent="0.2">
      <c r="A3" t="s">
        <v>43</v>
      </c>
      <c r="B3" t="s">
        <v>33</v>
      </c>
      <c r="C3" s="2" t="s">
        <v>42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>
        <v>25.2</v>
      </c>
      <c r="J3">
        <v>940</v>
      </c>
      <c r="K3">
        <v>0</v>
      </c>
      <c r="L3">
        <f t="shared" si="0"/>
        <v>23688</v>
      </c>
      <c r="M3">
        <f t="shared" si="1"/>
        <v>0</v>
      </c>
      <c r="N3">
        <v>23628</v>
      </c>
      <c r="O3">
        <v>60</v>
      </c>
      <c r="P3">
        <v>166971.99</v>
      </c>
      <c r="Q3">
        <v>0</v>
      </c>
      <c r="R3" s="1" t="s">
        <v>52</v>
      </c>
      <c r="S3">
        <v>19061.23</v>
      </c>
      <c r="T3">
        <v>2997</v>
      </c>
      <c r="U3">
        <v>181.8</v>
      </c>
      <c r="V3">
        <v>9000</v>
      </c>
      <c r="W3">
        <v>250</v>
      </c>
      <c r="X3">
        <v>217</v>
      </c>
      <c r="Y3">
        <v>25</v>
      </c>
      <c r="Z3" t="s">
        <v>49</v>
      </c>
      <c r="AA3" t="s">
        <v>50</v>
      </c>
      <c r="AB3" t="s">
        <v>51</v>
      </c>
      <c r="AC3">
        <v>25.2</v>
      </c>
      <c r="AD3">
        <v>4900</v>
      </c>
      <c r="AE3">
        <f t="shared" si="2"/>
        <v>123480</v>
      </c>
      <c r="AF3">
        <f t="shared" si="3"/>
        <v>11759.959999999992</v>
      </c>
    </row>
    <row r="4" spans="1:32" x14ac:dyDescent="0.2">
      <c r="A4" t="s">
        <v>53</v>
      </c>
      <c r="B4" t="s">
        <v>33</v>
      </c>
      <c r="C4" s="2" t="s">
        <v>42</v>
      </c>
      <c r="D4" t="s">
        <v>44</v>
      </c>
      <c r="E4" t="s">
        <v>45</v>
      </c>
      <c r="F4" t="s">
        <v>46</v>
      </c>
      <c r="G4" t="s">
        <v>54</v>
      </c>
      <c r="H4" t="s">
        <v>55</v>
      </c>
      <c r="I4">
        <v>14</v>
      </c>
      <c r="J4">
        <v>1620</v>
      </c>
      <c r="K4">
        <v>0</v>
      </c>
      <c r="L4">
        <f t="shared" si="0"/>
        <v>22680</v>
      </c>
      <c r="M4">
        <f t="shared" si="1"/>
        <v>0</v>
      </c>
      <c r="N4">
        <v>22620</v>
      </c>
      <c r="O4">
        <v>60</v>
      </c>
      <c r="P4">
        <v>160210.67000000001</v>
      </c>
      <c r="Q4">
        <v>0</v>
      </c>
      <c r="R4" s="1" t="s">
        <v>59</v>
      </c>
      <c r="S4">
        <v>0</v>
      </c>
      <c r="T4">
        <v>5284</v>
      </c>
      <c r="U4">
        <v>0</v>
      </c>
      <c r="V4">
        <v>7280</v>
      </c>
      <c r="W4">
        <v>31500</v>
      </c>
      <c r="X4">
        <v>217</v>
      </c>
      <c r="Y4">
        <v>10</v>
      </c>
      <c r="Z4" t="s">
        <v>56</v>
      </c>
      <c r="AA4" t="s">
        <v>57</v>
      </c>
      <c r="AB4" t="s">
        <v>58</v>
      </c>
      <c r="AC4">
        <v>14</v>
      </c>
      <c r="AD4">
        <v>4800</v>
      </c>
      <c r="AE4">
        <f t="shared" si="2"/>
        <v>67200</v>
      </c>
      <c r="AF4">
        <f t="shared" si="3"/>
        <v>48719.670000000013</v>
      </c>
    </row>
    <row r="5" spans="1:32" x14ac:dyDescent="0.2">
      <c r="A5" t="s">
        <v>60</v>
      </c>
      <c r="B5" t="s">
        <v>33</v>
      </c>
      <c r="C5" s="2" t="s">
        <v>42</v>
      </c>
      <c r="D5" t="s">
        <v>61</v>
      </c>
      <c r="E5" t="s">
        <v>62</v>
      </c>
      <c r="F5" t="s">
        <v>63</v>
      </c>
      <c r="G5" t="s">
        <v>54</v>
      </c>
      <c r="H5" t="s">
        <v>55</v>
      </c>
      <c r="I5">
        <v>9.24</v>
      </c>
      <c r="J5">
        <v>1100</v>
      </c>
      <c r="K5">
        <v>0</v>
      </c>
      <c r="L5">
        <f t="shared" si="0"/>
        <v>10164</v>
      </c>
      <c r="M5">
        <f t="shared" si="1"/>
        <v>0</v>
      </c>
      <c r="N5">
        <v>10144</v>
      </c>
      <c r="O5">
        <v>20</v>
      </c>
      <c r="P5">
        <v>70492.679999999993</v>
      </c>
      <c r="Q5">
        <v>0</v>
      </c>
      <c r="R5" s="1" t="s">
        <v>67</v>
      </c>
      <c r="S5">
        <v>-1188</v>
      </c>
      <c r="T5">
        <v>4503</v>
      </c>
      <c r="U5">
        <v>77.42</v>
      </c>
      <c r="V5">
        <v>0</v>
      </c>
      <c r="W5">
        <v>0</v>
      </c>
      <c r="X5">
        <v>137</v>
      </c>
      <c r="Y5">
        <v>10</v>
      </c>
      <c r="Z5" t="s">
        <v>64</v>
      </c>
      <c r="AA5" t="s">
        <v>65</v>
      </c>
      <c r="AB5" t="s">
        <v>66</v>
      </c>
      <c r="AC5">
        <v>9.24</v>
      </c>
      <c r="AD5">
        <v>5700</v>
      </c>
      <c r="AE5">
        <f t="shared" si="2"/>
        <v>52668</v>
      </c>
      <c r="AF5">
        <f t="shared" si="3"/>
        <v>14285.259999999995</v>
      </c>
    </row>
    <row r="6" spans="1:32" x14ac:dyDescent="0.2">
      <c r="A6" t="s">
        <v>68</v>
      </c>
      <c r="B6" t="s">
        <v>33</v>
      </c>
      <c r="C6" s="2" t="s">
        <v>78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>
        <v>19.8</v>
      </c>
      <c r="J6">
        <v>950</v>
      </c>
      <c r="K6">
        <v>0</v>
      </c>
      <c r="L6">
        <f t="shared" si="0"/>
        <v>18810</v>
      </c>
      <c r="M6">
        <f t="shared" si="1"/>
        <v>0</v>
      </c>
      <c r="N6">
        <v>18810</v>
      </c>
      <c r="O6">
        <v>0</v>
      </c>
      <c r="P6">
        <v>133037.49</v>
      </c>
      <c r="Q6">
        <v>0</v>
      </c>
      <c r="R6" s="1" t="s">
        <v>77</v>
      </c>
      <c r="S6">
        <v>-2265.3000000000002</v>
      </c>
      <c r="T6">
        <v>2997</v>
      </c>
      <c r="U6">
        <v>143.28</v>
      </c>
      <c r="V6">
        <v>0</v>
      </c>
      <c r="W6">
        <v>4201.18</v>
      </c>
      <c r="X6">
        <v>0</v>
      </c>
      <c r="Y6">
        <v>0</v>
      </c>
      <c r="Z6" t="s">
        <v>74</v>
      </c>
      <c r="AA6" t="s">
        <v>75</v>
      </c>
      <c r="AB6" t="s">
        <v>76</v>
      </c>
      <c r="AC6">
        <v>19.8</v>
      </c>
      <c r="AD6">
        <v>5800</v>
      </c>
      <c r="AE6">
        <f t="shared" si="2"/>
        <v>114840</v>
      </c>
      <c r="AF6">
        <f t="shared" si="3"/>
        <v>13121.329999999987</v>
      </c>
    </row>
    <row r="7" spans="1:32" x14ac:dyDescent="0.2">
      <c r="A7" t="s">
        <v>79</v>
      </c>
      <c r="B7" t="s">
        <v>33</v>
      </c>
      <c r="C7" s="2" t="s">
        <v>59</v>
      </c>
      <c r="D7" t="s">
        <v>80</v>
      </c>
      <c r="E7" t="s">
        <v>81</v>
      </c>
      <c r="F7" t="s">
        <v>82</v>
      </c>
      <c r="G7" t="s">
        <v>72</v>
      </c>
      <c r="H7" t="s">
        <v>73</v>
      </c>
      <c r="I7">
        <v>19.8</v>
      </c>
      <c r="J7">
        <v>920</v>
      </c>
      <c r="K7">
        <v>0</v>
      </c>
      <c r="L7">
        <f t="shared" si="0"/>
        <v>18216</v>
      </c>
      <c r="M7">
        <f t="shared" si="1"/>
        <v>0</v>
      </c>
      <c r="N7">
        <v>34799</v>
      </c>
      <c r="O7">
        <v>74</v>
      </c>
      <c r="P7">
        <v>246262.08</v>
      </c>
      <c r="Q7">
        <v>0</v>
      </c>
      <c r="R7" s="1" t="s">
        <v>83</v>
      </c>
      <c r="S7">
        <v>1988</v>
      </c>
      <c r="T7">
        <v>5894</v>
      </c>
      <c r="U7">
        <v>0</v>
      </c>
      <c r="V7">
        <v>0</v>
      </c>
      <c r="W7">
        <v>0</v>
      </c>
      <c r="X7">
        <v>0</v>
      </c>
      <c r="Y7">
        <v>0</v>
      </c>
      <c r="Z7" t="s">
        <v>74</v>
      </c>
      <c r="AA7" t="s">
        <v>75</v>
      </c>
      <c r="AB7" t="s">
        <v>76</v>
      </c>
      <c r="AC7">
        <v>19.8</v>
      </c>
      <c r="AD7">
        <v>5800</v>
      </c>
      <c r="AE7">
        <f t="shared" si="2"/>
        <v>114840</v>
      </c>
      <c r="AF7">
        <f t="shared" si="3"/>
        <v>123540.07999999999</v>
      </c>
    </row>
    <row r="8" spans="1:32" x14ac:dyDescent="0.2">
      <c r="A8" t="s">
        <v>79</v>
      </c>
      <c r="B8" t="s">
        <v>33</v>
      </c>
      <c r="D8" t="s">
        <v>80</v>
      </c>
      <c r="E8" t="s">
        <v>81</v>
      </c>
      <c r="F8" t="s">
        <v>82</v>
      </c>
      <c r="G8" t="s">
        <v>84</v>
      </c>
      <c r="H8" t="s">
        <v>85</v>
      </c>
      <c r="I8">
        <v>8.8000000000000007</v>
      </c>
      <c r="J8">
        <v>820</v>
      </c>
      <c r="K8">
        <v>0</v>
      </c>
      <c r="L8">
        <f t="shared" si="0"/>
        <v>7216.0000000000009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74</v>
      </c>
      <c r="AA8" t="s">
        <v>75</v>
      </c>
      <c r="AB8" t="s">
        <v>76</v>
      </c>
      <c r="AC8">
        <v>8.8000000000000007</v>
      </c>
      <c r="AD8">
        <v>5100</v>
      </c>
      <c r="AE8">
        <f t="shared" si="2"/>
        <v>44880</v>
      </c>
      <c r="AF8">
        <f t="shared" si="3"/>
        <v>-44880</v>
      </c>
    </row>
    <row r="9" spans="1:32" x14ac:dyDescent="0.2">
      <c r="A9" t="s">
        <v>86</v>
      </c>
      <c r="B9" t="s">
        <v>33</v>
      </c>
      <c r="C9" s="2" t="s">
        <v>96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I9">
        <v>8</v>
      </c>
      <c r="J9">
        <v>2100</v>
      </c>
      <c r="K9">
        <v>0</v>
      </c>
      <c r="L9">
        <f t="shared" si="0"/>
        <v>16800</v>
      </c>
      <c r="M9">
        <f t="shared" si="1"/>
        <v>0</v>
      </c>
      <c r="N9">
        <v>16754</v>
      </c>
      <c r="O9">
        <v>46</v>
      </c>
      <c r="P9">
        <v>116423.85</v>
      </c>
      <c r="Q9">
        <v>0</v>
      </c>
      <c r="R9" s="1" t="s">
        <v>95</v>
      </c>
      <c r="S9">
        <v>2698</v>
      </c>
      <c r="T9">
        <v>2455</v>
      </c>
      <c r="U9">
        <v>129.47999999999999</v>
      </c>
      <c r="V9">
        <v>0</v>
      </c>
      <c r="W9">
        <v>0</v>
      </c>
      <c r="X9">
        <v>23</v>
      </c>
      <c r="Y9">
        <v>0</v>
      </c>
      <c r="Z9" t="s">
        <v>92</v>
      </c>
      <c r="AA9" t="s">
        <v>93</v>
      </c>
      <c r="AB9" t="s">
        <v>94</v>
      </c>
      <c r="AC9">
        <v>8</v>
      </c>
      <c r="AD9">
        <v>10510</v>
      </c>
      <c r="AE9">
        <f t="shared" si="2"/>
        <v>84080</v>
      </c>
      <c r="AF9">
        <f t="shared" si="3"/>
        <v>27038.37000000001</v>
      </c>
    </row>
    <row r="10" spans="1:32" x14ac:dyDescent="0.2">
      <c r="A10" t="s">
        <v>97</v>
      </c>
      <c r="B10" t="s">
        <v>33</v>
      </c>
      <c r="C10" s="2" t="s">
        <v>102</v>
      </c>
      <c r="D10" t="s">
        <v>98</v>
      </c>
      <c r="E10" t="s">
        <v>99</v>
      </c>
      <c r="F10" t="s">
        <v>100</v>
      </c>
      <c r="G10" t="s">
        <v>84</v>
      </c>
      <c r="H10" t="s">
        <v>85</v>
      </c>
      <c r="I10">
        <v>25.2</v>
      </c>
      <c r="J10">
        <v>808.18</v>
      </c>
      <c r="K10">
        <v>0</v>
      </c>
      <c r="L10">
        <f t="shared" si="0"/>
        <v>20366.135999999999</v>
      </c>
      <c r="M10">
        <f t="shared" si="1"/>
        <v>0</v>
      </c>
      <c r="N10">
        <v>20334.14</v>
      </c>
      <c r="O10">
        <v>31.995999999999999</v>
      </c>
      <c r="P10">
        <v>143359.75</v>
      </c>
      <c r="Q10">
        <v>0</v>
      </c>
      <c r="R10" s="1" t="s">
        <v>101</v>
      </c>
      <c r="S10">
        <v>1541.45</v>
      </c>
      <c r="T10">
        <v>3191</v>
      </c>
      <c r="U10">
        <v>156.94999999999999</v>
      </c>
      <c r="V10">
        <v>0</v>
      </c>
      <c r="W10">
        <v>0</v>
      </c>
      <c r="X10">
        <v>137</v>
      </c>
      <c r="Y10">
        <v>0</v>
      </c>
      <c r="Z10" t="s">
        <v>74</v>
      </c>
      <c r="AA10" t="s">
        <v>75</v>
      </c>
      <c r="AB10" t="s">
        <v>76</v>
      </c>
      <c r="AC10">
        <v>25.2</v>
      </c>
      <c r="AD10">
        <v>5100</v>
      </c>
      <c r="AE10">
        <f t="shared" si="2"/>
        <v>128520</v>
      </c>
      <c r="AF10">
        <f t="shared" si="3"/>
        <v>9813.3499999999767</v>
      </c>
    </row>
    <row r="11" spans="1:32" x14ac:dyDescent="0.2">
      <c r="A11" t="s">
        <v>103</v>
      </c>
      <c r="B11" t="s">
        <v>33</v>
      </c>
      <c r="C11" s="2" t="s">
        <v>67</v>
      </c>
      <c r="D11" t="s">
        <v>104</v>
      </c>
      <c r="E11" t="s">
        <v>105</v>
      </c>
      <c r="F11" t="s">
        <v>106</v>
      </c>
      <c r="G11" t="s">
        <v>90</v>
      </c>
      <c r="H11" t="s">
        <v>91</v>
      </c>
      <c r="I11">
        <v>9.6</v>
      </c>
      <c r="J11">
        <v>2300</v>
      </c>
      <c r="K11">
        <v>0</v>
      </c>
      <c r="L11">
        <f t="shared" si="0"/>
        <v>22080</v>
      </c>
      <c r="M11">
        <f t="shared" si="1"/>
        <v>0</v>
      </c>
      <c r="N11">
        <v>22080</v>
      </c>
      <c r="O11">
        <v>0</v>
      </c>
      <c r="P11">
        <v>156419.14000000001</v>
      </c>
      <c r="Q11">
        <v>0</v>
      </c>
      <c r="R11" s="1" t="s">
        <v>109</v>
      </c>
      <c r="S11">
        <v>0</v>
      </c>
      <c r="T11">
        <v>4865.8</v>
      </c>
      <c r="U11">
        <v>208</v>
      </c>
      <c r="V11">
        <v>5079</v>
      </c>
      <c r="W11">
        <v>190</v>
      </c>
      <c r="X11">
        <v>925</v>
      </c>
      <c r="Y11">
        <v>5</v>
      </c>
      <c r="Z11" t="s">
        <v>107</v>
      </c>
      <c r="AA11" t="s">
        <v>108</v>
      </c>
      <c r="AB11" t="s">
        <v>76</v>
      </c>
      <c r="AC11">
        <v>9.6</v>
      </c>
      <c r="AD11">
        <v>14666.67</v>
      </c>
      <c r="AE11">
        <f t="shared" si="2"/>
        <v>140800.03200000001</v>
      </c>
      <c r="AF11">
        <f t="shared" si="3"/>
        <v>4346.3080000000191</v>
      </c>
    </row>
    <row r="12" spans="1:32" x14ac:dyDescent="0.2">
      <c r="A12" t="s">
        <v>110</v>
      </c>
      <c r="B12" t="s">
        <v>33</v>
      </c>
      <c r="C12" s="2" t="s">
        <v>112</v>
      </c>
      <c r="D12" t="s">
        <v>104</v>
      </c>
      <c r="E12" t="s">
        <v>105</v>
      </c>
      <c r="F12" t="s">
        <v>106</v>
      </c>
      <c r="G12" t="s">
        <v>90</v>
      </c>
      <c r="H12" t="s">
        <v>91</v>
      </c>
      <c r="I12">
        <v>9.6</v>
      </c>
      <c r="J12">
        <v>2300</v>
      </c>
      <c r="K12">
        <v>0</v>
      </c>
      <c r="L12">
        <f t="shared" si="0"/>
        <v>22080</v>
      </c>
      <c r="M12">
        <f t="shared" si="1"/>
        <v>0</v>
      </c>
      <c r="N12">
        <v>22077</v>
      </c>
      <c r="O12">
        <v>3</v>
      </c>
      <c r="P12">
        <v>156397.88</v>
      </c>
      <c r="Q12">
        <v>0</v>
      </c>
      <c r="R12" s="1" t="s">
        <v>111</v>
      </c>
      <c r="S12">
        <v>18231.169999999998</v>
      </c>
      <c r="T12">
        <v>3249</v>
      </c>
      <c r="U12">
        <v>227.1</v>
      </c>
      <c r="V12">
        <v>5079</v>
      </c>
      <c r="W12">
        <v>160</v>
      </c>
      <c r="X12">
        <v>313</v>
      </c>
      <c r="Y12">
        <v>0</v>
      </c>
      <c r="Z12" t="s">
        <v>107</v>
      </c>
      <c r="AA12" t="s">
        <v>108</v>
      </c>
      <c r="AB12" t="s">
        <v>76</v>
      </c>
      <c r="AC12">
        <v>9.6</v>
      </c>
      <c r="AD12">
        <v>14666.67</v>
      </c>
      <c r="AE12">
        <f t="shared" si="2"/>
        <v>140800.03200000001</v>
      </c>
      <c r="AF12">
        <f t="shared" si="3"/>
        <v>-11661.421999999991</v>
      </c>
    </row>
    <row r="13" spans="1:32" x14ac:dyDescent="0.2">
      <c r="A13" t="s">
        <v>113</v>
      </c>
      <c r="B13" t="s">
        <v>33</v>
      </c>
      <c r="C13" s="2" t="s">
        <v>83</v>
      </c>
      <c r="D13" t="s">
        <v>104</v>
      </c>
      <c r="E13" t="s">
        <v>105</v>
      </c>
      <c r="F13" t="s">
        <v>106</v>
      </c>
      <c r="G13" t="s">
        <v>90</v>
      </c>
      <c r="H13" t="s">
        <v>91</v>
      </c>
      <c r="I13">
        <v>9.6</v>
      </c>
      <c r="J13">
        <v>2300</v>
      </c>
      <c r="K13">
        <v>0</v>
      </c>
      <c r="L13">
        <f t="shared" si="0"/>
        <v>22080</v>
      </c>
      <c r="M13">
        <f t="shared" si="1"/>
        <v>0</v>
      </c>
      <c r="N13">
        <v>22080</v>
      </c>
      <c r="O13">
        <v>0</v>
      </c>
      <c r="P13">
        <v>156319.78</v>
      </c>
      <c r="Q13">
        <v>0</v>
      </c>
      <c r="R13" s="1" t="s">
        <v>117</v>
      </c>
      <c r="S13">
        <v>13991.43</v>
      </c>
      <c r="T13">
        <v>3249</v>
      </c>
      <c r="U13">
        <v>225.9</v>
      </c>
      <c r="V13">
        <v>0</v>
      </c>
      <c r="W13">
        <v>160</v>
      </c>
      <c r="X13">
        <v>386</v>
      </c>
      <c r="Y13">
        <v>0</v>
      </c>
      <c r="Z13" t="s">
        <v>114</v>
      </c>
      <c r="AA13" t="s">
        <v>115</v>
      </c>
      <c r="AB13" t="s">
        <v>116</v>
      </c>
      <c r="AC13">
        <v>9.6</v>
      </c>
      <c r="AD13">
        <v>13800</v>
      </c>
      <c r="AE13">
        <f t="shared" si="2"/>
        <v>132480</v>
      </c>
      <c r="AF13">
        <f t="shared" si="3"/>
        <v>5827.4500000000116</v>
      </c>
    </row>
    <row r="14" spans="1:32" x14ac:dyDescent="0.2">
      <c r="A14" t="s">
        <v>118</v>
      </c>
      <c r="B14" t="s">
        <v>33</v>
      </c>
      <c r="C14" s="2" t="s">
        <v>109</v>
      </c>
      <c r="D14" t="s">
        <v>119</v>
      </c>
      <c r="E14" t="s">
        <v>120</v>
      </c>
      <c r="F14" t="s">
        <v>121</v>
      </c>
      <c r="G14" t="s">
        <v>47</v>
      </c>
      <c r="H14" t="s">
        <v>48</v>
      </c>
      <c r="I14">
        <v>18</v>
      </c>
      <c r="J14">
        <v>915</v>
      </c>
      <c r="K14">
        <v>0</v>
      </c>
      <c r="L14">
        <f t="shared" si="0"/>
        <v>16470</v>
      </c>
      <c r="M14">
        <f t="shared" si="1"/>
        <v>0</v>
      </c>
      <c r="N14">
        <v>16437</v>
      </c>
      <c r="O14">
        <v>33</v>
      </c>
      <c r="P14">
        <v>114077.7111</v>
      </c>
      <c r="Q14">
        <v>0</v>
      </c>
      <c r="R14" s="1" t="s">
        <v>122</v>
      </c>
      <c r="S14">
        <v>1961.85</v>
      </c>
      <c r="T14">
        <v>3191</v>
      </c>
      <c r="U14">
        <v>126.96</v>
      </c>
      <c r="V14">
        <v>0</v>
      </c>
      <c r="W14">
        <v>0</v>
      </c>
      <c r="X14">
        <v>248</v>
      </c>
      <c r="Y14">
        <v>0</v>
      </c>
      <c r="Z14" t="s">
        <v>74</v>
      </c>
      <c r="AA14" t="s">
        <v>75</v>
      </c>
      <c r="AB14" t="s">
        <v>76</v>
      </c>
      <c r="AC14">
        <v>18</v>
      </c>
      <c r="AD14">
        <v>5100</v>
      </c>
      <c r="AE14">
        <f t="shared" si="2"/>
        <v>91800</v>
      </c>
      <c r="AF14">
        <f t="shared" si="3"/>
        <v>16749.901099999988</v>
      </c>
    </row>
    <row r="15" spans="1:32" x14ac:dyDescent="0.2">
      <c r="A15" t="s">
        <v>123</v>
      </c>
      <c r="B15" t="s">
        <v>33</v>
      </c>
      <c r="C15" s="2" t="s">
        <v>111</v>
      </c>
      <c r="D15" t="s">
        <v>124</v>
      </c>
      <c r="E15" t="s">
        <v>125</v>
      </c>
      <c r="F15" t="s">
        <v>126</v>
      </c>
      <c r="G15" t="s">
        <v>127</v>
      </c>
      <c r="H15" t="s">
        <v>91</v>
      </c>
      <c r="I15">
        <v>14</v>
      </c>
      <c r="J15">
        <v>2850</v>
      </c>
      <c r="K15">
        <v>0</v>
      </c>
      <c r="L15">
        <f t="shared" si="0"/>
        <v>39900</v>
      </c>
      <c r="M15">
        <f t="shared" si="1"/>
        <v>0</v>
      </c>
      <c r="N15">
        <v>39813</v>
      </c>
      <c r="O15">
        <v>87</v>
      </c>
      <c r="P15">
        <v>277431.15000000002</v>
      </c>
      <c r="Q15">
        <v>0</v>
      </c>
      <c r="R15" s="1" t="s">
        <v>131</v>
      </c>
      <c r="S15">
        <v>15764.85</v>
      </c>
      <c r="T15">
        <v>5397</v>
      </c>
      <c r="U15">
        <v>303.93</v>
      </c>
      <c r="V15">
        <v>0</v>
      </c>
      <c r="W15">
        <v>3960</v>
      </c>
      <c r="X15">
        <v>217</v>
      </c>
      <c r="Y15">
        <v>15</v>
      </c>
      <c r="Z15" t="s">
        <v>128</v>
      </c>
      <c r="AA15" t="s">
        <v>129</v>
      </c>
      <c r="AB15" t="s">
        <v>130</v>
      </c>
      <c r="AC15">
        <v>14</v>
      </c>
      <c r="AD15">
        <v>12300</v>
      </c>
      <c r="AE15">
        <f t="shared" si="2"/>
        <v>172200</v>
      </c>
      <c r="AF15">
        <f t="shared" si="3"/>
        <v>79573.370000000024</v>
      </c>
    </row>
    <row r="16" spans="1:32" x14ac:dyDescent="0.2">
      <c r="A16" t="s">
        <v>132</v>
      </c>
      <c r="B16" t="s">
        <v>133</v>
      </c>
      <c r="C16" s="2" t="s">
        <v>140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>
        <v>2.5</v>
      </c>
      <c r="J16">
        <v>0</v>
      </c>
      <c r="K16">
        <v>15250</v>
      </c>
      <c r="L16">
        <f t="shared" si="0"/>
        <v>0</v>
      </c>
      <c r="M16">
        <f t="shared" si="1"/>
        <v>38125</v>
      </c>
      <c r="N16">
        <v>0</v>
      </c>
      <c r="O16">
        <v>0</v>
      </c>
      <c r="P16">
        <v>0</v>
      </c>
      <c r="Q16">
        <v>77875</v>
      </c>
      <c r="R16" s="1" t="s">
        <v>139</v>
      </c>
      <c r="S16">
        <v>0</v>
      </c>
      <c r="T16">
        <v>0</v>
      </c>
      <c r="U16">
        <v>0</v>
      </c>
      <c r="V16">
        <v>2720</v>
      </c>
      <c r="W16">
        <v>0</v>
      </c>
      <c r="X16">
        <v>36</v>
      </c>
      <c r="Y16">
        <v>0</v>
      </c>
      <c r="Z16" t="s">
        <v>92</v>
      </c>
      <c r="AA16" t="s">
        <v>93</v>
      </c>
      <c r="AB16" t="s">
        <v>94</v>
      </c>
      <c r="AC16">
        <v>2.5</v>
      </c>
      <c r="AD16">
        <v>9510</v>
      </c>
      <c r="AE16">
        <f t="shared" si="2"/>
        <v>23775</v>
      </c>
      <c r="AF16">
        <f t="shared" si="3"/>
        <v>51344</v>
      </c>
    </row>
    <row r="17" spans="1:32" x14ac:dyDescent="0.2">
      <c r="A17" t="s">
        <v>132</v>
      </c>
      <c r="B17" t="s">
        <v>133</v>
      </c>
      <c r="D17" t="s">
        <v>134</v>
      </c>
      <c r="E17" t="s">
        <v>135</v>
      </c>
      <c r="F17" t="s">
        <v>136</v>
      </c>
      <c r="G17" t="s">
        <v>141</v>
      </c>
      <c r="H17" t="s">
        <v>91</v>
      </c>
      <c r="I17">
        <v>1.5</v>
      </c>
      <c r="J17">
        <v>0</v>
      </c>
      <c r="K17">
        <v>26500</v>
      </c>
      <c r="L17">
        <f t="shared" si="0"/>
        <v>0</v>
      </c>
      <c r="M17">
        <f t="shared" si="1"/>
        <v>39750</v>
      </c>
      <c r="N17">
        <v>0</v>
      </c>
      <c r="O17">
        <v>0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107</v>
      </c>
      <c r="AA17" t="s">
        <v>108</v>
      </c>
      <c r="AB17" t="s">
        <v>76</v>
      </c>
      <c r="AC17">
        <v>1.5</v>
      </c>
      <c r="AD17">
        <v>15700</v>
      </c>
      <c r="AE17">
        <f t="shared" si="2"/>
        <v>23550</v>
      </c>
      <c r="AF17">
        <f t="shared" si="3"/>
        <v>-23550</v>
      </c>
    </row>
    <row r="18" spans="1:32" x14ac:dyDescent="0.2">
      <c r="A18" t="s">
        <v>142</v>
      </c>
      <c r="B18" t="s">
        <v>33</v>
      </c>
      <c r="C18" s="2" t="s">
        <v>148</v>
      </c>
      <c r="D18" t="s">
        <v>87</v>
      </c>
      <c r="E18" t="s">
        <v>88</v>
      </c>
      <c r="F18" t="s">
        <v>89</v>
      </c>
      <c r="G18" t="s">
        <v>143</v>
      </c>
      <c r="H18" t="s">
        <v>48</v>
      </c>
      <c r="I18">
        <v>24</v>
      </c>
      <c r="J18">
        <v>840</v>
      </c>
      <c r="K18">
        <v>0</v>
      </c>
      <c r="L18">
        <f t="shared" si="0"/>
        <v>20160</v>
      </c>
      <c r="M18">
        <f t="shared" si="1"/>
        <v>0</v>
      </c>
      <c r="N18">
        <v>20089</v>
      </c>
      <c r="O18">
        <v>71</v>
      </c>
      <c r="P18">
        <v>139524.29999999999</v>
      </c>
      <c r="Q18">
        <v>0</v>
      </c>
      <c r="R18" s="1" t="s">
        <v>147</v>
      </c>
      <c r="S18">
        <v>0</v>
      </c>
      <c r="T18">
        <v>4810</v>
      </c>
      <c r="U18">
        <v>153.59</v>
      </c>
      <c r="V18">
        <v>0</v>
      </c>
      <c r="W18">
        <v>0</v>
      </c>
      <c r="X18">
        <v>41</v>
      </c>
      <c r="Y18">
        <v>15</v>
      </c>
      <c r="Z18" t="s">
        <v>144</v>
      </c>
      <c r="AA18" t="s">
        <v>145</v>
      </c>
      <c r="AB18" t="s">
        <v>146</v>
      </c>
      <c r="AC18">
        <v>24</v>
      </c>
      <c r="AD18">
        <v>5250</v>
      </c>
      <c r="AE18">
        <f t="shared" si="2"/>
        <v>126000</v>
      </c>
      <c r="AF18">
        <f t="shared" si="3"/>
        <v>8504.7099999999919</v>
      </c>
    </row>
    <row r="19" spans="1:32" x14ac:dyDescent="0.2">
      <c r="A19" t="s">
        <v>149</v>
      </c>
      <c r="B19" t="s">
        <v>33</v>
      </c>
      <c r="C19" s="2" t="s">
        <v>154</v>
      </c>
      <c r="D19" t="s">
        <v>150</v>
      </c>
      <c r="E19" t="s">
        <v>151</v>
      </c>
      <c r="F19" t="s">
        <v>152</v>
      </c>
      <c r="G19" t="s">
        <v>72</v>
      </c>
      <c r="H19" t="s">
        <v>73</v>
      </c>
      <c r="I19">
        <v>50.4</v>
      </c>
      <c r="J19">
        <v>840</v>
      </c>
      <c r="K19">
        <v>0</v>
      </c>
      <c r="L19">
        <f t="shared" si="0"/>
        <v>42336</v>
      </c>
      <c r="M19">
        <f t="shared" si="1"/>
        <v>0</v>
      </c>
      <c r="N19">
        <v>42246</v>
      </c>
      <c r="O19">
        <v>90</v>
      </c>
      <c r="P19">
        <v>293824.78999999998</v>
      </c>
      <c r="Q19">
        <v>0</v>
      </c>
      <c r="R19" s="1" t="s">
        <v>153</v>
      </c>
      <c r="S19">
        <v>8520</v>
      </c>
      <c r="T19">
        <v>5988</v>
      </c>
      <c r="U19">
        <v>322.49</v>
      </c>
      <c r="V19">
        <v>12104</v>
      </c>
      <c r="W19">
        <v>0</v>
      </c>
      <c r="X19">
        <v>137</v>
      </c>
      <c r="Y19">
        <v>0</v>
      </c>
      <c r="Z19" t="s">
        <v>49</v>
      </c>
      <c r="AA19" t="s">
        <v>50</v>
      </c>
      <c r="AB19" t="s">
        <v>51</v>
      </c>
      <c r="AC19">
        <v>50.4</v>
      </c>
      <c r="AD19">
        <v>4900</v>
      </c>
      <c r="AE19">
        <f t="shared" si="2"/>
        <v>246960</v>
      </c>
      <c r="AF19">
        <f t="shared" si="3"/>
        <v>19793.299999999988</v>
      </c>
    </row>
    <row r="20" spans="1:32" x14ac:dyDescent="0.2">
      <c r="A20" t="s">
        <v>155</v>
      </c>
      <c r="B20" t="s">
        <v>33</v>
      </c>
      <c r="C20" s="2" t="s">
        <v>139</v>
      </c>
      <c r="D20" t="s">
        <v>156</v>
      </c>
      <c r="E20" t="s">
        <v>157</v>
      </c>
      <c r="F20" t="s">
        <v>158</v>
      </c>
      <c r="G20" t="s">
        <v>84</v>
      </c>
      <c r="H20" t="s">
        <v>85</v>
      </c>
      <c r="I20">
        <v>20</v>
      </c>
      <c r="J20">
        <v>820</v>
      </c>
      <c r="K20">
        <v>0</v>
      </c>
      <c r="L20">
        <f t="shared" si="0"/>
        <v>16400</v>
      </c>
      <c r="M20">
        <f t="shared" si="1"/>
        <v>0</v>
      </c>
      <c r="N20">
        <v>16400</v>
      </c>
      <c r="O20">
        <v>0</v>
      </c>
      <c r="P20">
        <v>115563.25199999999</v>
      </c>
      <c r="Q20">
        <v>0</v>
      </c>
      <c r="R20" s="1" t="s">
        <v>159</v>
      </c>
      <c r="S20">
        <v>3923.7</v>
      </c>
      <c r="T20">
        <v>3249</v>
      </c>
      <c r="U20">
        <v>126.4</v>
      </c>
      <c r="V20">
        <v>0</v>
      </c>
      <c r="W20">
        <v>0</v>
      </c>
      <c r="X20">
        <v>331</v>
      </c>
      <c r="Y20">
        <v>0</v>
      </c>
      <c r="Z20" t="s">
        <v>74</v>
      </c>
      <c r="AA20" t="s">
        <v>75</v>
      </c>
      <c r="AB20" t="s">
        <v>76</v>
      </c>
      <c r="AC20">
        <v>20</v>
      </c>
      <c r="AD20">
        <v>5100</v>
      </c>
      <c r="AE20">
        <f t="shared" si="2"/>
        <v>102000</v>
      </c>
      <c r="AF20">
        <f t="shared" si="3"/>
        <v>5933.1520000000019</v>
      </c>
    </row>
    <row r="21" spans="1:32" x14ac:dyDescent="0.2">
      <c r="A21" t="s">
        <v>160</v>
      </c>
      <c r="B21" t="s">
        <v>33</v>
      </c>
      <c r="C21" s="2" t="s">
        <v>139</v>
      </c>
      <c r="D21" t="s">
        <v>161</v>
      </c>
      <c r="E21" t="s">
        <v>162</v>
      </c>
      <c r="F21" t="s">
        <v>163</v>
      </c>
      <c r="G21" t="s">
        <v>72</v>
      </c>
      <c r="H21" t="s">
        <v>73</v>
      </c>
      <c r="I21">
        <v>6</v>
      </c>
      <c r="J21">
        <v>1040</v>
      </c>
      <c r="K21">
        <v>0</v>
      </c>
      <c r="L21">
        <f t="shared" si="0"/>
        <v>6240</v>
      </c>
      <c r="M21">
        <f t="shared" si="1"/>
        <v>0</v>
      </c>
      <c r="N21">
        <v>6183</v>
      </c>
      <c r="O21">
        <v>57</v>
      </c>
      <c r="P21">
        <v>43554.29</v>
      </c>
      <c r="Q21">
        <v>0</v>
      </c>
      <c r="R21" s="1" t="s">
        <v>164</v>
      </c>
      <c r="S21">
        <v>0</v>
      </c>
      <c r="T21">
        <v>3407.58</v>
      </c>
      <c r="U21">
        <v>47.5</v>
      </c>
      <c r="V21">
        <v>0</v>
      </c>
      <c r="W21">
        <v>0</v>
      </c>
      <c r="X21">
        <v>37</v>
      </c>
      <c r="Y21">
        <v>347</v>
      </c>
      <c r="Z21" t="s">
        <v>74</v>
      </c>
      <c r="AA21" t="s">
        <v>75</v>
      </c>
      <c r="AB21" t="s">
        <v>76</v>
      </c>
      <c r="AC21">
        <v>6</v>
      </c>
      <c r="AD21">
        <v>5800</v>
      </c>
      <c r="AE21">
        <f t="shared" si="2"/>
        <v>34800</v>
      </c>
      <c r="AF21">
        <f t="shared" si="3"/>
        <v>4915.2099999999991</v>
      </c>
    </row>
    <row r="22" spans="1:32" x14ac:dyDescent="0.2">
      <c r="A22" t="s">
        <v>165</v>
      </c>
      <c r="B22" t="s">
        <v>33</v>
      </c>
      <c r="C22" s="2" t="s">
        <v>153</v>
      </c>
      <c r="D22" t="s">
        <v>166</v>
      </c>
      <c r="E22" t="s">
        <v>167</v>
      </c>
      <c r="F22" t="s">
        <v>168</v>
      </c>
      <c r="G22" t="s">
        <v>84</v>
      </c>
      <c r="H22" t="s">
        <v>85</v>
      </c>
      <c r="I22">
        <v>25.2</v>
      </c>
      <c r="J22">
        <v>830</v>
      </c>
      <c r="K22">
        <v>0</v>
      </c>
      <c r="L22">
        <f t="shared" si="0"/>
        <v>20916</v>
      </c>
      <c r="M22">
        <f t="shared" si="1"/>
        <v>0</v>
      </c>
      <c r="N22">
        <v>20904</v>
      </c>
      <c r="O22">
        <v>12</v>
      </c>
      <c r="P22">
        <v>145824.21359999999</v>
      </c>
      <c r="Q22">
        <v>0</v>
      </c>
      <c r="R22" s="1" t="s">
        <v>169</v>
      </c>
      <c r="S22">
        <v>0</v>
      </c>
      <c r="T22">
        <v>3952</v>
      </c>
      <c r="U22">
        <v>0</v>
      </c>
      <c r="V22">
        <v>0</v>
      </c>
      <c r="W22">
        <v>65</v>
      </c>
      <c r="X22">
        <v>225</v>
      </c>
      <c r="Y22">
        <v>5</v>
      </c>
      <c r="Z22" t="s">
        <v>74</v>
      </c>
      <c r="AA22" t="s">
        <v>75</v>
      </c>
      <c r="AB22" t="s">
        <v>76</v>
      </c>
      <c r="AC22">
        <v>25.2</v>
      </c>
      <c r="AD22">
        <v>5100</v>
      </c>
      <c r="AE22">
        <f t="shared" si="2"/>
        <v>128520</v>
      </c>
      <c r="AF22">
        <f t="shared" si="3"/>
        <v>13057.213599999988</v>
      </c>
    </row>
    <row r="23" spans="1:32" x14ac:dyDescent="0.2">
      <c r="A23" t="s">
        <v>170</v>
      </c>
      <c r="B23" t="s">
        <v>33</v>
      </c>
      <c r="C23" s="2" t="s">
        <v>175</v>
      </c>
      <c r="D23" t="s">
        <v>171</v>
      </c>
      <c r="E23" t="s">
        <v>172</v>
      </c>
      <c r="F23" t="s">
        <v>173</v>
      </c>
      <c r="G23" t="s">
        <v>90</v>
      </c>
      <c r="H23" t="s">
        <v>91</v>
      </c>
      <c r="I23">
        <v>6</v>
      </c>
      <c r="J23">
        <v>2150</v>
      </c>
      <c r="K23">
        <v>0</v>
      </c>
      <c r="L23">
        <f t="shared" si="0"/>
        <v>12900</v>
      </c>
      <c r="M23">
        <f t="shared" si="1"/>
        <v>0</v>
      </c>
      <c r="N23">
        <v>12900</v>
      </c>
      <c r="O23">
        <v>0</v>
      </c>
      <c r="P23">
        <v>91076.58</v>
      </c>
      <c r="Q23">
        <v>0</v>
      </c>
      <c r="R23" s="1" t="s">
        <v>174</v>
      </c>
      <c r="S23">
        <v>-11929.3</v>
      </c>
      <c r="T23">
        <v>0</v>
      </c>
      <c r="U23">
        <v>99.42</v>
      </c>
      <c r="V23">
        <v>0</v>
      </c>
      <c r="W23">
        <v>6130</v>
      </c>
      <c r="X23">
        <v>0</v>
      </c>
      <c r="Y23">
        <v>5</v>
      </c>
      <c r="Z23" t="s">
        <v>92</v>
      </c>
      <c r="AA23" t="s">
        <v>93</v>
      </c>
      <c r="AB23" t="s">
        <v>94</v>
      </c>
      <c r="AC23">
        <v>6</v>
      </c>
      <c r="AD23">
        <v>10800</v>
      </c>
      <c r="AE23">
        <f t="shared" si="2"/>
        <v>64800</v>
      </c>
      <c r="AF23">
        <f t="shared" si="3"/>
        <v>31971.460000000006</v>
      </c>
    </row>
    <row r="24" spans="1:32" x14ac:dyDescent="0.2">
      <c r="A24" t="s">
        <v>176</v>
      </c>
      <c r="B24" t="s">
        <v>33</v>
      </c>
      <c r="C24" s="2" t="s">
        <v>159</v>
      </c>
      <c r="D24" t="s">
        <v>104</v>
      </c>
      <c r="E24" t="s">
        <v>105</v>
      </c>
      <c r="F24" t="s">
        <v>106</v>
      </c>
      <c r="G24" t="s">
        <v>90</v>
      </c>
      <c r="H24" t="s">
        <v>91</v>
      </c>
      <c r="I24">
        <v>9.6</v>
      </c>
      <c r="J24">
        <v>2300</v>
      </c>
      <c r="K24">
        <v>0</v>
      </c>
      <c r="L24">
        <f t="shared" si="0"/>
        <v>22080</v>
      </c>
      <c r="M24">
        <f t="shared" si="1"/>
        <v>0</v>
      </c>
      <c r="N24">
        <v>22077</v>
      </c>
      <c r="O24">
        <v>3</v>
      </c>
      <c r="P24">
        <v>156298.53</v>
      </c>
      <c r="Q24">
        <v>0</v>
      </c>
      <c r="R24" s="1" t="s">
        <v>177</v>
      </c>
      <c r="S24">
        <v>15371.46</v>
      </c>
      <c r="T24">
        <v>3249</v>
      </c>
      <c r="U24">
        <v>225.9</v>
      </c>
      <c r="V24">
        <v>0</v>
      </c>
      <c r="W24">
        <v>355</v>
      </c>
      <c r="X24">
        <v>15</v>
      </c>
      <c r="Y24">
        <v>0</v>
      </c>
      <c r="Z24" t="s">
        <v>114</v>
      </c>
      <c r="AA24" t="s">
        <v>115</v>
      </c>
      <c r="AB24" t="s">
        <v>116</v>
      </c>
      <c r="AC24">
        <v>9.6</v>
      </c>
      <c r="AD24">
        <v>13800</v>
      </c>
      <c r="AE24">
        <f t="shared" si="2"/>
        <v>132480</v>
      </c>
      <c r="AF24">
        <f t="shared" si="3"/>
        <v>4602.1700000000128</v>
      </c>
    </row>
    <row r="25" spans="1:32" x14ac:dyDescent="0.2">
      <c r="A25" t="s">
        <v>178</v>
      </c>
      <c r="B25" t="s">
        <v>133</v>
      </c>
      <c r="C25" s="2" t="s">
        <v>185</v>
      </c>
      <c r="D25" t="s">
        <v>179</v>
      </c>
      <c r="E25" t="s">
        <v>180</v>
      </c>
      <c r="F25" t="s">
        <v>181</v>
      </c>
      <c r="G25" t="s">
        <v>182</v>
      </c>
      <c r="H25" t="s">
        <v>183</v>
      </c>
      <c r="I25">
        <v>1</v>
      </c>
      <c r="J25">
        <v>0</v>
      </c>
      <c r="K25">
        <v>23500</v>
      </c>
      <c r="L25">
        <f t="shared" si="0"/>
        <v>0</v>
      </c>
      <c r="M25">
        <f t="shared" si="1"/>
        <v>23500</v>
      </c>
      <c r="N25">
        <v>0</v>
      </c>
      <c r="O25">
        <v>0</v>
      </c>
      <c r="P25">
        <v>0</v>
      </c>
      <c r="Q25">
        <v>23500</v>
      </c>
      <c r="R25" s="1" t="s">
        <v>184</v>
      </c>
      <c r="S25">
        <v>0</v>
      </c>
      <c r="T25">
        <v>0</v>
      </c>
      <c r="U25">
        <v>0</v>
      </c>
      <c r="V25">
        <v>1760</v>
      </c>
      <c r="W25">
        <v>0</v>
      </c>
      <c r="X25">
        <v>23</v>
      </c>
      <c r="Y25">
        <v>0</v>
      </c>
      <c r="Z25" t="s">
        <v>107</v>
      </c>
      <c r="AA25" t="s">
        <v>108</v>
      </c>
      <c r="AB25" t="s">
        <v>76</v>
      </c>
      <c r="AC25">
        <v>1</v>
      </c>
      <c r="AD25">
        <v>13700</v>
      </c>
      <c r="AE25">
        <f t="shared" si="2"/>
        <v>13700</v>
      </c>
      <c r="AF25">
        <f t="shared" si="3"/>
        <v>8017</v>
      </c>
    </row>
    <row r="26" spans="1:32" x14ac:dyDescent="0.2">
      <c r="A26" t="s">
        <v>186</v>
      </c>
      <c r="B26" t="s">
        <v>33</v>
      </c>
      <c r="C26" s="2" t="s">
        <v>185</v>
      </c>
      <c r="D26" t="s">
        <v>80</v>
      </c>
      <c r="E26" t="s">
        <v>81</v>
      </c>
      <c r="F26" t="s">
        <v>82</v>
      </c>
      <c r="G26" t="s">
        <v>72</v>
      </c>
      <c r="H26" t="s">
        <v>73</v>
      </c>
      <c r="I26">
        <v>19.8</v>
      </c>
      <c r="J26">
        <v>930</v>
      </c>
      <c r="K26">
        <v>0</v>
      </c>
      <c r="L26">
        <f t="shared" si="0"/>
        <v>18414</v>
      </c>
      <c r="M26">
        <f t="shared" si="1"/>
        <v>0</v>
      </c>
      <c r="N26">
        <v>35105</v>
      </c>
      <c r="O26">
        <v>18</v>
      </c>
      <c r="P26">
        <v>247690.35</v>
      </c>
      <c r="Q26">
        <v>0</v>
      </c>
      <c r="R26" s="1" t="s">
        <v>187</v>
      </c>
      <c r="S26">
        <v>2382.2399999999998</v>
      </c>
      <c r="T26">
        <v>5944</v>
      </c>
      <c r="U26">
        <v>270.74</v>
      </c>
      <c r="V26">
        <v>0</v>
      </c>
      <c r="W26">
        <v>0</v>
      </c>
      <c r="X26">
        <v>0</v>
      </c>
      <c r="Y26">
        <v>0</v>
      </c>
      <c r="Z26" t="s">
        <v>74</v>
      </c>
      <c r="AA26" t="s">
        <v>75</v>
      </c>
      <c r="AB26" t="s">
        <v>76</v>
      </c>
      <c r="AC26">
        <v>19.8</v>
      </c>
      <c r="AD26">
        <v>5800</v>
      </c>
      <c r="AE26">
        <f t="shared" si="2"/>
        <v>114840</v>
      </c>
      <c r="AF26">
        <f t="shared" si="3"/>
        <v>124253.37000000002</v>
      </c>
    </row>
    <row r="27" spans="1:32" x14ac:dyDescent="0.2">
      <c r="A27" t="s">
        <v>186</v>
      </c>
      <c r="B27" t="s">
        <v>33</v>
      </c>
      <c r="D27" t="s">
        <v>80</v>
      </c>
      <c r="E27" t="s">
        <v>81</v>
      </c>
      <c r="F27" t="s">
        <v>82</v>
      </c>
      <c r="G27" t="s">
        <v>84</v>
      </c>
      <c r="H27" t="s">
        <v>85</v>
      </c>
      <c r="I27">
        <v>8.8000000000000007</v>
      </c>
      <c r="J27">
        <v>830</v>
      </c>
      <c r="K27">
        <v>0</v>
      </c>
      <c r="L27">
        <f t="shared" si="0"/>
        <v>7304.0000000000009</v>
      </c>
      <c r="M27">
        <f t="shared" si="1"/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74</v>
      </c>
      <c r="AA27" t="s">
        <v>75</v>
      </c>
      <c r="AB27" t="s">
        <v>76</v>
      </c>
      <c r="AC27">
        <v>8.8000000000000007</v>
      </c>
      <c r="AD27">
        <v>5100</v>
      </c>
      <c r="AE27">
        <f t="shared" si="2"/>
        <v>44880</v>
      </c>
      <c r="AF27">
        <f t="shared" si="3"/>
        <v>-44880</v>
      </c>
    </row>
    <row r="28" spans="1:32" x14ac:dyDescent="0.2">
      <c r="A28" t="s">
        <v>188</v>
      </c>
      <c r="B28" t="s">
        <v>33</v>
      </c>
      <c r="C28" s="2" t="s">
        <v>190</v>
      </c>
      <c r="D28" t="s">
        <v>87</v>
      </c>
      <c r="E28" t="s">
        <v>88</v>
      </c>
      <c r="F28" t="s">
        <v>89</v>
      </c>
      <c r="G28" t="s">
        <v>84</v>
      </c>
      <c r="H28" t="s">
        <v>85</v>
      </c>
      <c r="I28">
        <v>24</v>
      </c>
      <c r="J28">
        <v>770</v>
      </c>
      <c r="K28">
        <v>0</v>
      </c>
      <c r="L28">
        <f t="shared" si="0"/>
        <v>18480</v>
      </c>
      <c r="M28">
        <f t="shared" si="1"/>
        <v>0</v>
      </c>
      <c r="N28">
        <v>18455</v>
      </c>
      <c r="O28">
        <v>25</v>
      </c>
      <c r="P28">
        <v>130757.37</v>
      </c>
      <c r="Q28">
        <v>0</v>
      </c>
      <c r="R28" s="1" t="s">
        <v>189</v>
      </c>
      <c r="S28">
        <v>3433.23</v>
      </c>
      <c r="T28">
        <v>4704</v>
      </c>
      <c r="U28">
        <v>142.44</v>
      </c>
      <c r="V28">
        <v>0</v>
      </c>
      <c r="W28">
        <v>0</v>
      </c>
      <c r="X28">
        <v>36</v>
      </c>
      <c r="Y28">
        <v>15</v>
      </c>
      <c r="Z28" t="s">
        <v>144</v>
      </c>
      <c r="AA28" t="s">
        <v>145</v>
      </c>
      <c r="AB28" t="s">
        <v>146</v>
      </c>
      <c r="AC28">
        <v>24</v>
      </c>
      <c r="AD28">
        <v>4750</v>
      </c>
      <c r="AE28">
        <f t="shared" si="2"/>
        <v>114000</v>
      </c>
      <c r="AF28">
        <f t="shared" si="3"/>
        <v>8426.6999999999971</v>
      </c>
    </row>
    <row r="29" spans="1:32" x14ac:dyDescent="0.2">
      <c r="A29" t="s">
        <v>191</v>
      </c>
      <c r="B29" t="s">
        <v>33</v>
      </c>
      <c r="C29" s="2" t="s">
        <v>196</v>
      </c>
      <c r="D29" t="s">
        <v>192</v>
      </c>
      <c r="E29" t="s">
        <v>193</v>
      </c>
      <c r="F29" t="s">
        <v>194</v>
      </c>
      <c r="G29" t="s">
        <v>84</v>
      </c>
      <c r="H29" t="s">
        <v>85</v>
      </c>
      <c r="I29">
        <v>0.1</v>
      </c>
      <c r="J29">
        <v>800</v>
      </c>
      <c r="K29">
        <v>0</v>
      </c>
      <c r="L29">
        <f t="shared" si="0"/>
        <v>80</v>
      </c>
      <c r="M29">
        <f t="shared" si="1"/>
        <v>0</v>
      </c>
      <c r="N29">
        <v>80</v>
      </c>
      <c r="O29">
        <v>0</v>
      </c>
      <c r="P29">
        <v>556.89599999999996</v>
      </c>
      <c r="Q29">
        <v>0</v>
      </c>
      <c r="R29" s="1" t="s">
        <v>195</v>
      </c>
      <c r="S29">
        <v>0</v>
      </c>
      <c r="T29">
        <v>410</v>
      </c>
      <c r="U29">
        <v>0</v>
      </c>
      <c r="V29">
        <v>0</v>
      </c>
      <c r="W29">
        <v>0</v>
      </c>
      <c r="X29">
        <v>18</v>
      </c>
      <c r="Y29">
        <v>0</v>
      </c>
      <c r="Z29" t="s">
        <v>74</v>
      </c>
      <c r="AA29" t="s">
        <v>75</v>
      </c>
      <c r="AB29" t="s">
        <v>76</v>
      </c>
      <c r="AC29">
        <v>0.1</v>
      </c>
      <c r="AD29">
        <v>5100</v>
      </c>
      <c r="AE29">
        <f t="shared" si="2"/>
        <v>510</v>
      </c>
      <c r="AF29">
        <f t="shared" si="3"/>
        <v>-381.10400000000004</v>
      </c>
    </row>
    <row r="30" spans="1:32" x14ac:dyDescent="0.2">
      <c r="A30" t="s">
        <v>197</v>
      </c>
      <c r="B30" t="s">
        <v>33</v>
      </c>
      <c r="C30" s="2" t="s">
        <v>196</v>
      </c>
      <c r="D30" t="s">
        <v>198</v>
      </c>
      <c r="E30" t="s">
        <v>199</v>
      </c>
      <c r="F30" t="s">
        <v>158</v>
      </c>
      <c r="G30" t="s">
        <v>90</v>
      </c>
      <c r="H30" t="s">
        <v>91</v>
      </c>
      <c r="I30">
        <v>8</v>
      </c>
      <c r="J30">
        <v>2085</v>
      </c>
      <c r="K30">
        <v>0</v>
      </c>
      <c r="L30">
        <f t="shared" si="0"/>
        <v>16680</v>
      </c>
      <c r="M30">
        <f t="shared" si="1"/>
        <v>0</v>
      </c>
      <c r="N30">
        <v>16592</v>
      </c>
      <c r="O30">
        <v>88</v>
      </c>
      <c r="P30">
        <v>117309.52</v>
      </c>
      <c r="Q30">
        <v>0</v>
      </c>
      <c r="R30" s="1" t="s">
        <v>200</v>
      </c>
      <c r="S30">
        <v>2030.6</v>
      </c>
      <c r="T30">
        <v>2455</v>
      </c>
      <c r="U30">
        <v>130.86000000000001</v>
      </c>
      <c r="V30">
        <v>0</v>
      </c>
      <c r="W30">
        <v>0</v>
      </c>
      <c r="X30">
        <v>41</v>
      </c>
      <c r="Y30">
        <v>0</v>
      </c>
      <c r="Z30" t="s">
        <v>92</v>
      </c>
      <c r="AA30" t="s">
        <v>93</v>
      </c>
      <c r="AB30" t="s">
        <v>94</v>
      </c>
      <c r="AC30">
        <v>8</v>
      </c>
      <c r="AD30">
        <v>10510</v>
      </c>
      <c r="AE30">
        <f t="shared" si="2"/>
        <v>84080</v>
      </c>
      <c r="AF30">
        <f t="shared" si="3"/>
        <v>28572.059999999998</v>
      </c>
    </row>
    <row r="31" spans="1:32" x14ac:dyDescent="0.2">
      <c r="A31" t="s">
        <v>201</v>
      </c>
      <c r="B31" t="s">
        <v>33</v>
      </c>
      <c r="C31" s="2" t="s">
        <v>208</v>
      </c>
      <c r="D31" t="s">
        <v>202</v>
      </c>
      <c r="E31" t="s">
        <v>203</v>
      </c>
      <c r="F31" t="s">
        <v>204</v>
      </c>
      <c r="G31" t="s">
        <v>205</v>
      </c>
      <c r="H31" t="s">
        <v>206</v>
      </c>
      <c r="I31">
        <v>1.8</v>
      </c>
      <c r="J31">
        <v>2150</v>
      </c>
      <c r="K31">
        <v>0</v>
      </c>
      <c r="L31">
        <f t="shared" si="0"/>
        <v>3870</v>
      </c>
      <c r="M31">
        <f t="shared" si="1"/>
        <v>0</v>
      </c>
      <c r="N31">
        <v>10530</v>
      </c>
      <c r="O31">
        <v>0</v>
      </c>
      <c r="P31">
        <v>73760.539999999994</v>
      </c>
      <c r="Q31">
        <v>0</v>
      </c>
      <c r="R31" s="1" t="s">
        <v>207</v>
      </c>
      <c r="S31">
        <v>0</v>
      </c>
      <c r="T31">
        <v>0</v>
      </c>
      <c r="U31">
        <v>82.05</v>
      </c>
      <c r="V31">
        <v>0</v>
      </c>
      <c r="W31">
        <v>1338</v>
      </c>
      <c r="X31">
        <v>0</v>
      </c>
      <c r="Y31">
        <v>0</v>
      </c>
      <c r="Z31" t="s">
        <v>92</v>
      </c>
      <c r="AA31" t="s">
        <v>93</v>
      </c>
      <c r="AB31" t="s">
        <v>94</v>
      </c>
      <c r="AC31">
        <v>1.8</v>
      </c>
      <c r="AD31">
        <v>11900</v>
      </c>
      <c r="AE31">
        <f t="shared" si="2"/>
        <v>21420</v>
      </c>
      <c r="AF31">
        <f t="shared" si="3"/>
        <v>50920.489999999991</v>
      </c>
    </row>
    <row r="32" spans="1:32" x14ac:dyDescent="0.2">
      <c r="A32" t="s">
        <v>209</v>
      </c>
      <c r="B32" t="s">
        <v>33</v>
      </c>
      <c r="C32" s="2" t="s">
        <v>213</v>
      </c>
      <c r="D32" t="s">
        <v>210</v>
      </c>
      <c r="E32" t="s">
        <v>211</v>
      </c>
      <c r="F32" t="s">
        <v>181</v>
      </c>
      <c r="G32" t="s">
        <v>205</v>
      </c>
      <c r="H32" t="s">
        <v>206</v>
      </c>
      <c r="I32">
        <v>9.6</v>
      </c>
      <c r="J32">
        <v>2000</v>
      </c>
      <c r="K32">
        <v>0</v>
      </c>
      <c r="L32">
        <f t="shared" si="0"/>
        <v>19200</v>
      </c>
      <c r="M32">
        <f t="shared" si="1"/>
        <v>0</v>
      </c>
      <c r="N32">
        <v>19197</v>
      </c>
      <c r="O32">
        <v>3</v>
      </c>
      <c r="P32">
        <v>135313.89000000001</v>
      </c>
      <c r="Q32">
        <v>0</v>
      </c>
      <c r="R32" s="1" t="s">
        <v>212</v>
      </c>
      <c r="S32">
        <v>0</v>
      </c>
      <c r="T32">
        <v>2555</v>
      </c>
      <c r="U32">
        <v>0</v>
      </c>
      <c r="V32">
        <v>0</v>
      </c>
      <c r="W32">
        <v>9809</v>
      </c>
      <c r="X32">
        <v>18</v>
      </c>
      <c r="Y32">
        <v>5</v>
      </c>
      <c r="Z32" t="s">
        <v>39</v>
      </c>
      <c r="AA32" t="s">
        <v>40</v>
      </c>
      <c r="AB32" t="s">
        <v>41</v>
      </c>
      <c r="AC32">
        <v>9.6</v>
      </c>
      <c r="AD32">
        <v>11200</v>
      </c>
      <c r="AE32">
        <f t="shared" si="2"/>
        <v>107520</v>
      </c>
      <c r="AF32">
        <f t="shared" si="3"/>
        <v>15406.890000000014</v>
      </c>
    </row>
    <row r="33" spans="1:32" x14ac:dyDescent="0.2">
      <c r="A33" t="s">
        <v>214</v>
      </c>
      <c r="B33" t="s">
        <v>33</v>
      </c>
      <c r="C33" s="2" t="s">
        <v>219</v>
      </c>
      <c r="D33" t="s">
        <v>215</v>
      </c>
      <c r="E33" t="s">
        <v>216</v>
      </c>
      <c r="F33" t="s">
        <v>217</v>
      </c>
      <c r="G33" t="s">
        <v>90</v>
      </c>
      <c r="H33" t="s">
        <v>91</v>
      </c>
      <c r="I33">
        <v>8.64</v>
      </c>
      <c r="J33">
        <v>2166</v>
      </c>
      <c r="K33">
        <v>0</v>
      </c>
      <c r="L33">
        <f t="shared" si="0"/>
        <v>18714.240000000002</v>
      </c>
      <c r="M33">
        <f t="shared" si="1"/>
        <v>0</v>
      </c>
      <c r="N33">
        <v>20214.2</v>
      </c>
      <c r="O33">
        <v>55</v>
      </c>
      <c r="P33">
        <v>143211.54</v>
      </c>
      <c r="Q33">
        <v>0</v>
      </c>
      <c r="R33" s="1" t="s">
        <v>218</v>
      </c>
      <c r="S33">
        <v>9833.5</v>
      </c>
      <c r="T33">
        <v>4275</v>
      </c>
      <c r="U33">
        <v>158</v>
      </c>
      <c r="V33">
        <v>0</v>
      </c>
      <c r="W33">
        <v>0</v>
      </c>
      <c r="X33">
        <v>269</v>
      </c>
      <c r="Y33">
        <v>0</v>
      </c>
      <c r="Z33" t="s">
        <v>39</v>
      </c>
      <c r="AA33" t="s">
        <v>40</v>
      </c>
      <c r="AB33" t="s">
        <v>41</v>
      </c>
      <c r="AC33">
        <v>8.64</v>
      </c>
      <c r="AD33">
        <v>12000</v>
      </c>
      <c r="AE33">
        <f t="shared" si="2"/>
        <v>103680</v>
      </c>
      <c r="AF33">
        <f t="shared" si="3"/>
        <v>24996.040000000008</v>
      </c>
    </row>
    <row r="34" spans="1:32" x14ac:dyDescent="0.2">
      <c r="A34" t="s">
        <v>214</v>
      </c>
      <c r="B34" t="s">
        <v>33</v>
      </c>
      <c r="D34" t="s">
        <v>215</v>
      </c>
      <c r="E34" t="s">
        <v>216</v>
      </c>
      <c r="F34" t="s">
        <v>217</v>
      </c>
      <c r="G34" t="s">
        <v>54</v>
      </c>
      <c r="H34" t="s">
        <v>55</v>
      </c>
      <c r="I34">
        <v>0.46</v>
      </c>
      <c r="J34">
        <v>1576</v>
      </c>
      <c r="K34">
        <v>0</v>
      </c>
      <c r="L34">
        <f t="shared" ref="L34:L65" si="4">I34*J34</f>
        <v>724.96</v>
      </c>
      <c r="M34">
        <f t="shared" ref="M34:M65" si="5">I34*K34</f>
        <v>0</v>
      </c>
      <c r="N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1000</v>
      </c>
      <c r="W34">
        <v>0</v>
      </c>
      <c r="X34">
        <v>225</v>
      </c>
      <c r="Y34">
        <v>5</v>
      </c>
      <c r="Z34" t="s">
        <v>49</v>
      </c>
      <c r="AA34" t="s">
        <v>50</v>
      </c>
      <c r="AB34" t="s">
        <v>51</v>
      </c>
      <c r="AC34">
        <v>0.46</v>
      </c>
      <c r="AD34">
        <v>5300</v>
      </c>
      <c r="AE34">
        <f t="shared" ref="AE34:AE65" si="6">AC34*AD34</f>
        <v>2438</v>
      </c>
      <c r="AF34">
        <f t="shared" ref="AF34:AF65" si="7">P34+Q34-S34-T34-U34-V34-W34-X34-Y34-AE34</f>
        <v>-3668</v>
      </c>
    </row>
    <row r="35" spans="1:32" x14ac:dyDescent="0.2">
      <c r="A35" t="s">
        <v>220</v>
      </c>
      <c r="B35" t="s">
        <v>33</v>
      </c>
      <c r="C35" s="2" t="s">
        <v>222</v>
      </c>
      <c r="D35" t="s">
        <v>198</v>
      </c>
      <c r="E35" t="s">
        <v>199</v>
      </c>
      <c r="F35" t="s">
        <v>158</v>
      </c>
      <c r="G35" t="s">
        <v>127</v>
      </c>
      <c r="H35" t="s">
        <v>91</v>
      </c>
      <c r="I35">
        <v>1</v>
      </c>
      <c r="J35">
        <v>2730</v>
      </c>
      <c r="K35">
        <v>0</v>
      </c>
      <c r="L35">
        <f t="shared" si="4"/>
        <v>2730</v>
      </c>
      <c r="M35">
        <f t="shared" si="5"/>
        <v>0</v>
      </c>
      <c r="N35">
        <v>2698.5</v>
      </c>
      <c r="O35">
        <v>31.5</v>
      </c>
      <c r="P35">
        <v>19276.73</v>
      </c>
      <c r="Q35">
        <v>0</v>
      </c>
      <c r="R35" s="1" t="s">
        <v>221</v>
      </c>
      <c r="S35">
        <v>-607</v>
      </c>
      <c r="T35">
        <v>1347.6</v>
      </c>
      <c r="U35">
        <v>21.39</v>
      </c>
      <c r="V35">
        <v>0</v>
      </c>
      <c r="W35">
        <v>200</v>
      </c>
      <c r="X35">
        <v>165</v>
      </c>
      <c r="Y35">
        <v>0</v>
      </c>
      <c r="Z35" t="s">
        <v>128</v>
      </c>
      <c r="AA35" t="s">
        <v>129</v>
      </c>
      <c r="AB35" t="s">
        <v>130</v>
      </c>
      <c r="AC35">
        <v>1</v>
      </c>
      <c r="AD35">
        <v>10890</v>
      </c>
      <c r="AE35">
        <f t="shared" si="6"/>
        <v>10890</v>
      </c>
      <c r="AF35">
        <f t="shared" si="7"/>
        <v>7259.7400000000016</v>
      </c>
    </row>
    <row r="36" spans="1:32" x14ac:dyDescent="0.2">
      <c r="A36" t="s">
        <v>223</v>
      </c>
      <c r="B36" t="s">
        <v>33</v>
      </c>
      <c r="C36" s="2" t="s">
        <v>222</v>
      </c>
      <c r="D36" t="s">
        <v>224</v>
      </c>
      <c r="E36" t="s">
        <v>225</v>
      </c>
      <c r="F36" t="s">
        <v>226</v>
      </c>
      <c r="G36" t="s">
        <v>227</v>
      </c>
      <c r="H36" t="s">
        <v>228</v>
      </c>
      <c r="I36">
        <v>1</v>
      </c>
      <c r="J36">
        <v>3100</v>
      </c>
      <c r="K36">
        <v>0</v>
      </c>
      <c r="L36">
        <f t="shared" si="4"/>
        <v>3100</v>
      </c>
      <c r="M36">
        <f t="shared" si="5"/>
        <v>0</v>
      </c>
      <c r="N36">
        <v>6686.5</v>
      </c>
      <c r="O36">
        <v>33.5</v>
      </c>
      <c r="P36">
        <v>47291.61</v>
      </c>
      <c r="Q36">
        <v>0</v>
      </c>
      <c r="R36" s="1" t="s">
        <v>229</v>
      </c>
      <c r="S36">
        <v>-1655.33</v>
      </c>
      <c r="T36">
        <v>180</v>
      </c>
      <c r="U36">
        <v>52.36</v>
      </c>
      <c r="V36">
        <v>1460</v>
      </c>
      <c r="W36">
        <v>0</v>
      </c>
      <c r="X36">
        <v>157</v>
      </c>
      <c r="Y36">
        <v>0</v>
      </c>
      <c r="Z36" t="s">
        <v>107</v>
      </c>
      <c r="AA36" t="s">
        <v>108</v>
      </c>
      <c r="AB36" t="s">
        <v>76</v>
      </c>
      <c r="AC36">
        <v>1</v>
      </c>
      <c r="AD36">
        <v>14700</v>
      </c>
      <c r="AE36">
        <f t="shared" si="6"/>
        <v>14700</v>
      </c>
      <c r="AF36">
        <f t="shared" si="7"/>
        <v>32397.58</v>
      </c>
    </row>
    <row r="37" spans="1:32" x14ac:dyDescent="0.2">
      <c r="A37" t="s">
        <v>223</v>
      </c>
      <c r="B37" t="s">
        <v>33</v>
      </c>
      <c r="D37" t="s">
        <v>224</v>
      </c>
      <c r="E37" t="s">
        <v>225</v>
      </c>
      <c r="F37" t="s">
        <v>226</v>
      </c>
      <c r="G37" t="s">
        <v>205</v>
      </c>
      <c r="H37" t="s">
        <v>206</v>
      </c>
      <c r="I37">
        <v>2</v>
      </c>
      <c r="J37">
        <v>1810</v>
      </c>
      <c r="K37">
        <v>0</v>
      </c>
      <c r="L37">
        <f t="shared" si="4"/>
        <v>3620</v>
      </c>
      <c r="M37">
        <f t="shared" si="5"/>
        <v>0</v>
      </c>
      <c r="N37">
        <v>0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92</v>
      </c>
      <c r="AA37" t="s">
        <v>93</v>
      </c>
      <c r="AB37" t="s">
        <v>94</v>
      </c>
      <c r="AC37">
        <v>2</v>
      </c>
      <c r="AD37">
        <v>10000</v>
      </c>
      <c r="AE37">
        <f t="shared" si="6"/>
        <v>20000</v>
      </c>
      <c r="AF37">
        <f t="shared" si="7"/>
        <v>-20000</v>
      </c>
    </row>
    <row r="38" spans="1:32" x14ac:dyDescent="0.2">
      <c r="A38" t="s">
        <v>230</v>
      </c>
      <c r="B38" t="s">
        <v>33</v>
      </c>
      <c r="C38" s="2" t="s">
        <v>236</v>
      </c>
      <c r="D38" t="s">
        <v>231</v>
      </c>
      <c r="E38" t="s">
        <v>232</v>
      </c>
      <c r="F38" t="s">
        <v>233</v>
      </c>
      <c r="G38" t="s">
        <v>234</v>
      </c>
      <c r="H38" t="s">
        <v>228</v>
      </c>
      <c r="I38">
        <v>8</v>
      </c>
      <c r="J38">
        <v>2500</v>
      </c>
      <c r="K38">
        <v>0</v>
      </c>
      <c r="L38">
        <f t="shared" si="4"/>
        <v>20000</v>
      </c>
      <c r="M38">
        <f t="shared" si="5"/>
        <v>0</v>
      </c>
      <c r="N38">
        <v>19970</v>
      </c>
      <c r="O38">
        <v>30</v>
      </c>
      <c r="P38">
        <v>141311.71</v>
      </c>
      <c r="Q38">
        <v>0</v>
      </c>
      <c r="R38" s="1" t="s">
        <v>235</v>
      </c>
      <c r="S38">
        <v>3088.5</v>
      </c>
      <c r="T38">
        <v>2255</v>
      </c>
      <c r="U38">
        <v>155.26</v>
      </c>
      <c r="V38">
        <v>0</v>
      </c>
      <c r="W38">
        <v>17570.240000000002</v>
      </c>
      <c r="X38">
        <v>151</v>
      </c>
      <c r="Y38">
        <v>0</v>
      </c>
      <c r="Z38" t="s">
        <v>92</v>
      </c>
      <c r="AA38" t="s">
        <v>93</v>
      </c>
      <c r="AB38" t="s">
        <v>94</v>
      </c>
      <c r="AC38">
        <v>8</v>
      </c>
      <c r="AD38">
        <v>10500</v>
      </c>
      <c r="AE38">
        <f t="shared" si="6"/>
        <v>84000</v>
      </c>
      <c r="AF38">
        <f t="shared" si="7"/>
        <v>34091.709999999977</v>
      </c>
    </row>
    <row r="39" spans="1:32" x14ac:dyDescent="0.2">
      <c r="A39" t="s">
        <v>237</v>
      </c>
      <c r="B39" t="s">
        <v>133</v>
      </c>
      <c r="C39" s="2" t="s">
        <v>212</v>
      </c>
      <c r="D39" t="s">
        <v>238</v>
      </c>
      <c r="E39" t="s">
        <v>239</v>
      </c>
      <c r="F39" t="s">
        <v>240</v>
      </c>
      <c r="G39" t="s">
        <v>137</v>
      </c>
      <c r="H39" t="s">
        <v>138</v>
      </c>
      <c r="I39">
        <v>0.2</v>
      </c>
      <c r="J39">
        <v>0</v>
      </c>
      <c r="K39">
        <v>4900</v>
      </c>
      <c r="L39">
        <f t="shared" si="4"/>
        <v>0</v>
      </c>
      <c r="M39">
        <f t="shared" si="5"/>
        <v>980</v>
      </c>
      <c r="N39">
        <v>0</v>
      </c>
      <c r="O39">
        <v>0</v>
      </c>
      <c r="P39">
        <v>0</v>
      </c>
      <c r="Q39">
        <v>980</v>
      </c>
      <c r="R39" s="1" t="s">
        <v>241</v>
      </c>
      <c r="S39">
        <v>0</v>
      </c>
      <c r="T39">
        <v>0</v>
      </c>
      <c r="U39">
        <v>0</v>
      </c>
      <c r="V39">
        <v>0</v>
      </c>
      <c r="W39">
        <v>0</v>
      </c>
      <c r="X39">
        <v>18</v>
      </c>
      <c r="Y39">
        <v>0</v>
      </c>
      <c r="Z39" t="s">
        <v>74</v>
      </c>
      <c r="AA39" t="s">
        <v>75</v>
      </c>
      <c r="AB39" t="s">
        <v>76</v>
      </c>
      <c r="AC39">
        <v>0.2</v>
      </c>
      <c r="AD39">
        <v>4300</v>
      </c>
      <c r="AE39">
        <f t="shared" si="6"/>
        <v>860</v>
      </c>
      <c r="AF39">
        <f t="shared" si="7"/>
        <v>102</v>
      </c>
    </row>
    <row r="40" spans="1:32" x14ac:dyDescent="0.2">
      <c r="A40" t="s">
        <v>242</v>
      </c>
      <c r="B40" t="s">
        <v>33</v>
      </c>
      <c r="C40" s="2" t="s">
        <v>229</v>
      </c>
      <c r="D40" t="s">
        <v>243</v>
      </c>
      <c r="E40" t="s">
        <v>244</v>
      </c>
      <c r="F40" t="s">
        <v>245</v>
      </c>
      <c r="G40" t="s">
        <v>141</v>
      </c>
      <c r="H40" t="s">
        <v>91</v>
      </c>
      <c r="I40">
        <v>4.4000000000000004</v>
      </c>
      <c r="J40">
        <v>2520</v>
      </c>
      <c r="K40">
        <v>0</v>
      </c>
      <c r="L40">
        <f t="shared" si="4"/>
        <v>11088</v>
      </c>
      <c r="M40">
        <f t="shared" si="5"/>
        <v>0</v>
      </c>
      <c r="N40">
        <v>13161.4</v>
      </c>
      <c r="O40">
        <v>65</v>
      </c>
      <c r="P40">
        <v>92948.44</v>
      </c>
      <c r="Q40">
        <v>0</v>
      </c>
      <c r="R40" s="1" t="s">
        <v>246</v>
      </c>
      <c r="S40">
        <v>0</v>
      </c>
      <c r="T40">
        <v>2464.5</v>
      </c>
      <c r="U40">
        <v>0</v>
      </c>
      <c r="V40">
        <v>0</v>
      </c>
      <c r="W40">
        <v>0</v>
      </c>
      <c r="X40">
        <v>224</v>
      </c>
      <c r="Y40">
        <v>5</v>
      </c>
      <c r="Z40" t="s">
        <v>39</v>
      </c>
      <c r="AA40" t="s">
        <v>40</v>
      </c>
      <c r="AB40" t="s">
        <v>41</v>
      </c>
      <c r="AC40">
        <v>4.4000000000000004</v>
      </c>
      <c r="AD40">
        <v>12300</v>
      </c>
      <c r="AE40">
        <f t="shared" si="6"/>
        <v>54120.000000000007</v>
      </c>
      <c r="AF40">
        <f t="shared" si="7"/>
        <v>36134.939999999995</v>
      </c>
    </row>
    <row r="41" spans="1:32" x14ac:dyDescent="0.2">
      <c r="A41" t="s">
        <v>242</v>
      </c>
      <c r="B41" t="s">
        <v>33</v>
      </c>
      <c r="D41" t="s">
        <v>243</v>
      </c>
      <c r="E41" t="s">
        <v>244</v>
      </c>
      <c r="F41" t="s">
        <v>245</v>
      </c>
      <c r="G41" t="s">
        <v>54</v>
      </c>
      <c r="H41" t="s">
        <v>55</v>
      </c>
      <c r="I41">
        <v>1.32</v>
      </c>
      <c r="J41">
        <v>1620</v>
      </c>
      <c r="K41">
        <v>0</v>
      </c>
      <c r="L41">
        <f t="shared" si="4"/>
        <v>2138.4</v>
      </c>
      <c r="M41">
        <f t="shared" si="5"/>
        <v>0</v>
      </c>
      <c r="N41">
        <v>0</v>
      </c>
      <c r="O41">
        <v>0</v>
      </c>
      <c r="P41">
        <v>0</v>
      </c>
      <c r="Q41">
        <v>0</v>
      </c>
      <c r="S41">
        <v>0</v>
      </c>
      <c r="T41">
        <v>1920</v>
      </c>
      <c r="U41">
        <v>0</v>
      </c>
      <c r="V41">
        <v>686.4</v>
      </c>
      <c r="W41">
        <v>2970</v>
      </c>
      <c r="X41">
        <v>0</v>
      </c>
      <c r="Y41">
        <v>0</v>
      </c>
      <c r="Z41" t="s">
        <v>56</v>
      </c>
      <c r="AA41" t="s">
        <v>57</v>
      </c>
      <c r="AB41" t="s">
        <v>58</v>
      </c>
      <c r="AC41">
        <v>1.32</v>
      </c>
      <c r="AD41">
        <v>4800</v>
      </c>
      <c r="AE41">
        <f t="shared" si="6"/>
        <v>6336</v>
      </c>
      <c r="AF41">
        <f t="shared" si="7"/>
        <v>-11912.4</v>
      </c>
    </row>
    <row r="42" spans="1:32" x14ac:dyDescent="0.2">
      <c r="A42" t="s">
        <v>247</v>
      </c>
      <c r="B42" t="s">
        <v>33</v>
      </c>
      <c r="C42" s="2" t="s">
        <v>235</v>
      </c>
      <c r="D42" t="s">
        <v>248</v>
      </c>
      <c r="E42" t="s">
        <v>249</v>
      </c>
      <c r="F42" t="s">
        <v>100</v>
      </c>
      <c r="G42" t="s">
        <v>84</v>
      </c>
      <c r="H42" t="s">
        <v>85</v>
      </c>
      <c r="I42">
        <v>1</v>
      </c>
      <c r="J42">
        <v>830</v>
      </c>
      <c r="K42">
        <v>0</v>
      </c>
      <c r="L42">
        <f t="shared" si="4"/>
        <v>830</v>
      </c>
      <c r="M42">
        <f t="shared" si="5"/>
        <v>0</v>
      </c>
      <c r="N42">
        <v>830</v>
      </c>
      <c r="O42">
        <v>0</v>
      </c>
      <c r="P42">
        <v>5827.46</v>
      </c>
      <c r="Q42">
        <v>0</v>
      </c>
      <c r="R42" s="1" t="s">
        <v>250</v>
      </c>
      <c r="S42">
        <v>-483</v>
      </c>
      <c r="T42">
        <v>0</v>
      </c>
      <c r="U42">
        <v>100.04</v>
      </c>
      <c r="V42">
        <v>0</v>
      </c>
      <c r="W42">
        <v>0</v>
      </c>
      <c r="X42">
        <v>0</v>
      </c>
      <c r="Y42">
        <v>0</v>
      </c>
      <c r="Z42" t="s">
        <v>74</v>
      </c>
      <c r="AA42" t="s">
        <v>75</v>
      </c>
      <c r="AB42" t="s">
        <v>76</v>
      </c>
      <c r="AC42">
        <v>1</v>
      </c>
      <c r="AD42">
        <v>5100</v>
      </c>
      <c r="AE42">
        <f t="shared" si="6"/>
        <v>5100</v>
      </c>
      <c r="AF42">
        <f t="shared" si="7"/>
        <v>1110.42</v>
      </c>
    </row>
    <row r="43" spans="1:32" x14ac:dyDescent="0.2">
      <c r="A43" t="s">
        <v>251</v>
      </c>
      <c r="B43" t="s">
        <v>33</v>
      </c>
      <c r="C43" s="2" t="s">
        <v>253</v>
      </c>
      <c r="D43" t="s">
        <v>150</v>
      </c>
      <c r="E43" t="s">
        <v>151</v>
      </c>
      <c r="F43" t="s">
        <v>152</v>
      </c>
      <c r="G43" t="s">
        <v>72</v>
      </c>
      <c r="H43" t="s">
        <v>73</v>
      </c>
      <c r="I43">
        <v>50.4</v>
      </c>
      <c r="J43">
        <v>775</v>
      </c>
      <c r="K43">
        <v>0</v>
      </c>
      <c r="L43">
        <f t="shared" si="4"/>
        <v>39060</v>
      </c>
      <c r="M43">
        <f t="shared" si="5"/>
        <v>0</v>
      </c>
      <c r="N43">
        <v>38974</v>
      </c>
      <c r="O43">
        <v>86</v>
      </c>
      <c r="P43">
        <v>275955.32</v>
      </c>
      <c r="Q43">
        <v>0</v>
      </c>
      <c r="R43" s="1" t="s">
        <v>252</v>
      </c>
      <c r="S43">
        <v>7131.5</v>
      </c>
      <c r="T43">
        <v>5302</v>
      </c>
      <c r="U43">
        <v>304.45</v>
      </c>
      <c r="V43">
        <v>9024.33</v>
      </c>
      <c r="W43">
        <v>151</v>
      </c>
      <c r="X43">
        <v>13</v>
      </c>
      <c r="Y43">
        <v>15</v>
      </c>
      <c r="Z43" t="s">
        <v>49</v>
      </c>
      <c r="AA43" t="s">
        <v>50</v>
      </c>
      <c r="AB43" t="s">
        <v>51</v>
      </c>
      <c r="AC43">
        <v>50.4</v>
      </c>
      <c r="AD43">
        <v>4500</v>
      </c>
      <c r="AE43">
        <f t="shared" si="6"/>
        <v>226800</v>
      </c>
      <c r="AF43">
        <f t="shared" si="7"/>
        <v>27214.040000000008</v>
      </c>
    </row>
    <row r="44" spans="1:32" x14ac:dyDescent="0.2">
      <c r="A44" t="s">
        <v>254</v>
      </c>
      <c r="B44" t="s">
        <v>33</v>
      </c>
      <c r="C44" s="2" t="s">
        <v>235</v>
      </c>
      <c r="D44" t="s">
        <v>161</v>
      </c>
      <c r="E44" t="s">
        <v>162</v>
      </c>
      <c r="F44" t="s">
        <v>163</v>
      </c>
      <c r="G44" t="s">
        <v>90</v>
      </c>
      <c r="H44" t="s">
        <v>91</v>
      </c>
      <c r="I44">
        <v>3.2</v>
      </c>
      <c r="J44">
        <v>2020</v>
      </c>
      <c r="K44">
        <v>0</v>
      </c>
      <c r="L44">
        <f t="shared" si="4"/>
        <v>6464</v>
      </c>
      <c r="M44">
        <f t="shared" si="5"/>
        <v>0</v>
      </c>
      <c r="N44">
        <v>6407</v>
      </c>
      <c r="O44">
        <v>57</v>
      </c>
      <c r="P44">
        <v>45391.67</v>
      </c>
      <c r="Q44">
        <v>0</v>
      </c>
      <c r="R44" s="1" t="s">
        <v>255</v>
      </c>
      <c r="S44">
        <v>0</v>
      </c>
      <c r="T44">
        <v>0</v>
      </c>
      <c r="U44">
        <v>100.04</v>
      </c>
      <c r="V44">
        <v>0</v>
      </c>
      <c r="W44">
        <v>0</v>
      </c>
      <c r="X44">
        <v>36</v>
      </c>
      <c r="Y44">
        <v>247</v>
      </c>
      <c r="Z44" t="s">
        <v>92</v>
      </c>
      <c r="AA44" t="s">
        <v>93</v>
      </c>
      <c r="AB44" t="s">
        <v>94</v>
      </c>
      <c r="AC44">
        <v>3.2</v>
      </c>
      <c r="AD44">
        <v>10500</v>
      </c>
      <c r="AE44">
        <f t="shared" si="6"/>
        <v>33600</v>
      </c>
      <c r="AF44">
        <f t="shared" si="7"/>
        <v>11408.629999999997</v>
      </c>
    </row>
    <row r="45" spans="1:32" x14ac:dyDescent="0.2">
      <c r="A45" t="s">
        <v>256</v>
      </c>
      <c r="B45" t="s">
        <v>33</v>
      </c>
      <c r="C45" s="2" t="s">
        <v>258</v>
      </c>
      <c r="D45" t="s">
        <v>166</v>
      </c>
      <c r="E45" t="s">
        <v>167</v>
      </c>
      <c r="F45" t="s">
        <v>168</v>
      </c>
      <c r="G45" t="s">
        <v>84</v>
      </c>
      <c r="H45" t="s">
        <v>85</v>
      </c>
      <c r="I45">
        <v>23.8</v>
      </c>
      <c r="J45">
        <v>745</v>
      </c>
      <c r="K45">
        <v>0</v>
      </c>
      <c r="L45">
        <f t="shared" si="4"/>
        <v>17731</v>
      </c>
      <c r="M45">
        <f t="shared" si="5"/>
        <v>0</v>
      </c>
      <c r="N45">
        <v>17719</v>
      </c>
      <c r="O45">
        <v>12</v>
      </c>
      <c r="P45">
        <v>124842.76</v>
      </c>
      <c r="Q45">
        <v>0</v>
      </c>
      <c r="R45" s="1" t="s">
        <v>257</v>
      </c>
      <c r="S45">
        <v>0</v>
      </c>
      <c r="T45">
        <v>4083.4</v>
      </c>
      <c r="U45">
        <v>0</v>
      </c>
      <c r="V45">
        <v>0</v>
      </c>
      <c r="W45">
        <v>365</v>
      </c>
      <c r="X45">
        <v>232</v>
      </c>
      <c r="Y45">
        <v>5</v>
      </c>
      <c r="Z45" t="s">
        <v>74</v>
      </c>
      <c r="AA45" t="s">
        <v>75</v>
      </c>
      <c r="AB45" t="s">
        <v>76</v>
      </c>
      <c r="AC45">
        <v>23.8</v>
      </c>
      <c r="AD45">
        <v>4700</v>
      </c>
      <c r="AE45">
        <f t="shared" si="6"/>
        <v>111860</v>
      </c>
      <c r="AF45">
        <f t="shared" si="7"/>
        <v>8297.36</v>
      </c>
    </row>
    <row r="46" spans="1:32" x14ac:dyDescent="0.2">
      <c r="A46" t="s">
        <v>259</v>
      </c>
      <c r="B46" t="s">
        <v>133</v>
      </c>
      <c r="C46" s="2" t="s">
        <v>264</v>
      </c>
      <c r="D46" t="s">
        <v>260</v>
      </c>
      <c r="E46" t="s">
        <v>261</v>
      </c>
      <c r="F46" t="s">
        <v>262</v>
      </c>
      <c r="G46" t="s">
        <v>234</v>
      </c>
      <c r="H46" t="s">
        <v>228</v>
      </c>
      <c r="I46">
        <v>0.1</v>
      </c>
      <c r="J46">
        <v>0</v>
      </c>
      <c r="K46">
        <v>12000</v>
      </c>
      <c r="L46">
        <f t="shared" si="4"/>
        <v>0</v>
      </c>
      <c r="M46">
        <f t="shared" si="5"/>
        <v>1200</v>
      </c>
      <c r="N46">
        <v>0</v>
      </c>
      <c r="O46">
        <v>0</v>
      </c>
      <c r="P46">
        <v>0</v>
      </c>
      <c r="Q46">
        <v>1200</v>
      </c>
      <c r="R46" s="1" t="s">
        <v>263</v>
      </c>
      <c r="S46">
        <v>0</v>
      </c>
      <c r="T46">
        <v>0</v>
      </c>
      <c r="U46">
        <v>0</v>
      </c>
      <c r="V46">
        <v>0</v>
      </c>
      <c r="W46">
        <v>0</v>
      </c>
      <c r="X46">
        <v>46</v>
      </c>
      <c r="Y46">
        <v>0</v>
      </c>
      <c r="Z46" t="s">
        <v>92</v>
      </c>
      <c r="AA46" t="s">
        <v>93</v>
      </c>
      <c r="AB46" t="s">
        <v>94</v>
      </c>
      <c r="AC46">
        <v>0.1</v>
      </c>
      <c r="AD46">
        <v>10500</v>
      </c>
      <c r="AE46">
        <f t="shared" si="6"/>
        <v>1050</v>
      </c>
      <c r="AF46">
        <f t="shared" si="7"/>
        <v>104</v>
      </c>
    </row>
    <row r="47" spans="1:32" x14ac:dyDescent="0.2">
      <c r="A47" t="s">
        <v>265</v>
      </c>
      <c r="B47" t="s">
        <v>33</v>
      </c>
      <c r="C47" s="2" t="s">
        <v>270</v>
      </c>
      <c r="D47" t="s">
        <v>266</v>
      </c>
      <c r="E47" t="s">
        <v>267</v>
      </c>
      <c r="F47" t="s">
        <v>268</v>
      </c>
      <c r="G47" t="s">
        <v>84</v>
      </c>
      <c r="H47" t="s">
        <v>85</v>
      </c>
      <c r="I47">
        <v>10.08</v>
      </c>
      <c r="J47">
        <v>715</v>
      </c>
      <c r="K47">
        <v>0</v>
      </c>
      <c r="L47">
        <f t="shared" si="4"/>
        <v>7207.2</v>
      </c>
      <c r="M47">
        <f t="shared" si="5"/>
        <v>0</v>
      </c>
      <c r="N47">
        <v>7167.2</v>
      </c>
      <c r="O47">
        <v>40</v>
      </c>
      <c r="P47">
        <v>50703.040000000001</v>
      </c>
      <c r="Q47">
        <v>0</v>
      </c>
      <c r="R47" s="1" t="s">
        <v>269</v>
      </c>
      <c r="S47">
        <v>-818.7</v>
      </c>
      <c r="T47">
        <v>2165</v>
      </c>
      <c r="U47">
        <v>100.07</v>
      </c>
      <c r="V47">
        <v>0</v>
      </c>
      <c r="W47">
        <v>0</v>
      </c>
      <c r="X47">
        <v>0</v>
      </c>
      <c r="Y47">
        <v>0</v>
      </c>
      <c r="Z47" t="s">
        <v>74</v>
      </c>
      <c r="AA47" t="s">
        <v>75</v>
      </c>
      <c r="AB47" t="s">
        <v>76</v>
      </c>
      <c r="AC47">
        <v>10.08</v>
      </c>
      <c r="AD47">
        <v>4200</v>
      </c>
      <c r="AE47">
        <f t="shared" si="6"/>
        <v>42336</v>
      </c>
      <c r="AF47">
        <f t="shared" si="7"/>
        <v>6920.6699999999983</v>
      </c>
    </row>
    <row r="48" spans="1:32" x14ac:dyDescent="0.2">
      <c r="A48" t="s">
        <v>271</v>
      </c>
      <c r="B48" t="s">
        <v>33</v>
      </c>
      <c r="C48" s="2" t="s">
        <v>273</v>
      </c>
      <c r="D48" t="s">
        <v>80</v>
      </c>
      <c r="E48" t="s">
        <v>81</v>
      </c>
      <c r="F48" t="s">
        <v>82</v>
      </c>
      <c r="G48" t="s">
        <v>72</v>
      </c>
      <c r="H48" t="s">
        <v>73</v>
      </c>
      <c r="I48">
        <v>19.8</v>
      </c>
      <c r="J48">
        <v>780</v>
      </c>
      <c r="K48">
        <v>0</v>
      </c>
      <c r="L48">
        <f t="shared" si="4"/>
        <v>15444</v>
      </c>
      <c r="M48">
        <f t="shared" si="5"/>
        <v>0</v>
      </c>
      <c r="N48">
        <v>15444</v>
      </c>
      <c r="O48">
        <v>0</v>
      </c>
      <c r="P48">
        <v>107958.19</v>
      </c>
      <c r="Q48">
        <v>0</v>
      </c>
      <c r="R48" s="1" t="s">
        <v>272</v>
      </c>
      <c r="S48">
        <v>1301.46</v>
      </c>
      <c r="T48">
        <v>3524</v>
      </c>
      <c r="U48">
        <v>120.38</v>
      </c>
      <c r="V48">
        <v>4279.3599999999997</v>
      </c>
      <c r="W48">
        <v>1330.64</v>
      </c>
      <c r="X48">
        <v>0</v>
      </c>
      <c r="Y48">
        <v>10</v>
      </c>
      <c r="Z48" t="s">
        <v>49</v>
      </c>
      <c r="AA48" t="s">
        <v>50</v>
      </c>
      <c r="AB48" t="s">
        <v>51</v>
      </c>
      <c r="AC48">
        <v>19.8</v>
      </c>
      <c r="AD48">
        <v>4611.1099999999997</v>
      </c>
      <c r="AE48">
        <f t="shared" si="6"/>
        <v>91299.978000000003</v>
      </c>
      <c r="AF48">
        <f t="shared" si="7"/>
        <v>6092.3719999999885</v>
      </c>
    </row>
    <row r="49" spans="1:32" x14ac:dyDescent="0.2">
      <c r="A49" t="s">
        <v>274</v>
      </c>
      <c r="B49" t="s">
        <v>33</v>
      </c>
      <c r="C49" s="2" t="s">
        <v>263</v>
      </c>
      <c r="D49" t="s">
        <v>69</v>
      </c>
      <c r="E49" t="s">
        <v>70</v>
      </c>
      <c r="F49" t="s">
        <v>71</v>
      </c>
      <c r="G49" t="s">
        <v>72</v>
      </c>
      <c r="H49" t="s">
        <v>73</v>
      </c>
      <c r="I49">
        <v>19.8</v>
      </c>
      <c r="J49">
        <v>783</v>
      </c>
      <c r="K49">
        <v>0</v>
      </c>
      <c r="L49">
        <f t="shared" si="4"/>
        <v>15503.400000000001</v>
      </c>
      <c r="M49">
        <f t="shared" si="5"/>
        <v>0</v>
      </c>
      <c r="N49">
        <v>15485.4</v>
      </c>
      <c r="O49">
        <v>18</v>
      </c>
      <c r="P49">
        <v>109523.59</v>
      </c>
      <c r="Q49">
        <v>0</v>
      </c>
      <c r="R49" s="1" t="s">
        <v>275</v>
      </c>
      <c r="S49">
        <v>0</v>
      </c>
      <c r="T49">
        <v>3366</v>
      </c>
      <c r="U49">
        <v>120.8</v>
      </c>
      <c r="V49">
        <v>0</v>
      </c>
      <c r="W49">
        <v>7201.18</v>
      </c>
      <c r="X49">
        <v>0</v>
      </c>
      <c r="Y49">
        <v>5</v>
      </c>
      <c r="Z49" t="s">
        <v>74</v>
      </c>
      <c r="AA49" t="s">
        <v>75</v>
      </c>
      <c r="AB49" t="s">
        <v>76</v>
      </c>
      <c r="AC49">
        <v>19.8</v>
      </c>
      <c r="AD49">
        <v>4700</v>
      </c>
      <c r="AE49">
        <f t="shared" si="6"/>
        <v>93060</v>
      </c>
      <c r="AF49">
        <f t="shared" si="7"/>
        <v>5770.609999999986</v>
      </c>
    </row>
    <row r="50" spans="1:32" x14ac:dyDescent="0.2">
      <c r="A50" t="s">
        <v>276</v>
      </c>
      <c r="B50" t="s">
        <v>33</v>
      </c>
      <c r="C50" s="2" t="s">
        <v>278</v>
      </c>
      <c r="D50" t="s">
        <v>80</v>
      </c>
      <c r="E50" t="s">
        <v>81</v>
      </c>
      <c r="F50" t="s">
        <v>82</v>
      </c>
      <c r="G50" t="s">
        <v>72</v>
      </c>
      <c r="H50" t="s">
        <v>73</v>
      </c>
      <c r="I50">
        <v>19.8</v>
      </c>
      <c r="J50">
        <v>780</v>
      </c>
      <c r="K50">
        <v>0</v>
      </c>
      <c r="L50">
        <f t="shared" si="4"/>
        <v>15444</v>
      </c>
      <c r="M50">
        <f t="shared" si="5"/>
        <v>0</v>
      </c>
      <c r="N50">
        <v>15406</v>
      </c>
      <c r="O50">
        <v>38</v>
      </c>
      <c r="P50">
        <v>107692.57</v>
      </c>
      <c r="Q50">
        <v>0</v>
      </c>
      <c r="R50" s="1" t="s">
        <v>277</v>
      </c>
      <c r="S50">
        <v>1925.51</v>
      </c>
      <c r="T50">
        <v>6746</v>
      </c>
      <c r="U50">
        <v>119.9</v>
      </c>
      <c r="V50">
        <v>0</v>
      </c>
      <c r="W50">
        <v>0</v>
      </c>
      <c r="X50">
        <v>0</v>
      </c>
      <c r="Y50">
        <v>0</v>
      </c>
      <c r="Z50" t="s">
        <v>74</v>
      </c>
      <c r="AA50" t="s">
        <v>75</v>
      </c>
      <c r="AB50" t="s">
        <v>76</v>
      </c>
      <c r="AC50">
        <v>19.8</v>
      </c>
      <c r="AD50">
        <v>4700</v>
      </c>
      <c r="AE50">
        <f t="shared" si="6"/>
        <v>93060</v>
      </c>
      <c r="AF50">
        <f t="shared" si="7"/>
        <v>5841.160000000018</v>
      </c>
    </row>
    <row r="51" spans="1:32" x14ac:dyDescent="0.2">
      <c r="A51" t="s">
        <v>279</v>
      </c>
      <c r="B51" t="s">
        <v>33</v>
      </c>
      <c r="C51" s="2" t="s">
        <v>263</v>
      </c>
      <c r="D51" t="s">
        <v>166</v>
      </c>
      <c r="E51" t="s">
        <v>167</v>
      </c>
      <c r="F51" t="s">
        <v>168</v>
      </c>
      <c r="G51" t="s">
        <v>84</v>
      </c>
      <c r="H51" t="s">
        <v>85</v>
      </c>
      <c r="I51">
        <v>25.2</v>
      </c>
      <c r="J51">
        <v>695</v>
      </c>
      <c r="K51">
        <v>0</v>
      </c>
      <c r="L51">
        <f t="shared" si="4"/>
        <v>17514</v>
      </c>
      <c r="M51">
        <f t="shared" si="5"/>
        <v>0</v>
      </c>
      <c r="N51">
        <v>17502</v>
      </c>
      <c r="O51">
        <v>12</v>
      </c>
      <c r="P51">
        <v>123628.8774</v>
      </c>
      <c r="Q51">
        <v>0</v>
      </c>
      <c r="R51" s="1" t="s">
        <v>280</v>
      </c>
      <c r="S51">
        <v>0</v>
      </c>
      <c r="T51">
        <v>3319.5</v>
      </c>
      <c r="U51">
        <v>0</v>
      </c>
      <c r="V51">
        <v>0</v>
      </c>
      <c r="W51">
        <v>365</v>
      </c>
      <c r="X51">
        <v>393</v>
      </c>
      <c r="Y51">
        <v>0</v>
      </c>
      <c r="Z51" t="s">
        <v>74</v>
      </c>
      <c r="AA51" t="s">
        <v>75</v>
      </c>
      <c r="AB51" t="s">
        <v>76</v>
      </c>
      <c r="AC51">
        <v>25.2</v>
      </c>
      <c r="AD51">
        <v>4100</v>
      </c>
      <c r="AE51">
        <f t="shared" si="6"/>
        <v>103320</v>
      </c>
      <c r="AF51">
        <f t="shared" si="7"/>
        <v>16231.377399999998</v>
      </c>
    </row>
    <row r="52" spans="1:32" x14ac:dyDescent="0.2">
      <c r="A52" t="s">
        <v>281</v>
      </c>
      <c r="B52" t="s">
        <v>33</v>
      </c>
      <c r="C52" s="2" t="s">
        <v>275</v>
      </c>
      <c r="D52" t="s">
        <v>104</v>
      </c>
      <c r="E52" t="s">
        <v>105</v>
      </c>
      <c r="F52" t="s">
        <v>106</v>
      </c>
      <c r="G52" t="s">
        <v>90</v>
      </c>
      <c r="H52" t="s">
        <v>91</v>
      </c>
      <c r="I52">
        <v>9.4</v>
      </c>
      <c r="J52">
        <v>2300</v>
      </c>
      <c r="K52">
        <v>0</v>
      </c>
      <c r="L52">
        <f t="shared" si="4"/>
        <v>21620</v>
      </c>
      <c r="M52">
        <f t="shared" si="5"/>
        <v>0</v>
      </c>
      <c r="N52">
        <v>21947</v>
      </c>
      <c r="O52">
        <v>3</v>
      </c>
      <c r="P52">
        <v>155279.41</v>
      </c>
      <c r="Q52">
        <v>0</v>
      </c>
      <c r="R52" s="1" t="s">
        <v>282</v>
      </c>
      <c r="S52">
        <v>0</v>
      </c>
      <c r="T52">
        <v>2760</v>
      </c>
      <c r="U52">
        <v>0</v>
      </c>
      <c r="V52">
        <v>0</v>
      </c>
      <c r="W52">
        <v>190</v>
      </c>
      <c r="X52">
        <v>225</v>
      </c>
      <c r="Y52">
        <v>0</v>
      </c>
      <c r="Z52" t="s">
        <v>114</v>
      </c>
      <c r="AA52" t="s">
        <v>115</v>
      </c>
      <c r="AB52" t="s">
        <v>116</v>
      </c>
      <c r="AC52">
        <v>9.4</v>
      </c>
      <c r="AD52">
        <v>13800</v>
      </c>
      <c r="AE52">
        <f t="shared" si="6"/>
        <v>129720</v>
      </c>
      <c r="AF52">
        <f t="shared" si="7"/>
        <v>22384.410000000003</v>
      </c>
    </row>
    <row r="53" spans="1:32" x14ac:dyDescent="0.2">
      <c r="A53" t="s">
        <v>281</v>
      </c>
      <c r="B53" t="s">
        <v>33</v>
      </c>
      <c r="D53" t="s">
        <v>104</v>
      </c>
      <c r="E53" t="s">
        <v>105</v>
      </c>
      <c r="F53" t="s">
        <v>106</v>
      </c>
      <c r="G53" t="s">
        <v>127</v>
      </c>
      <c r="H53" t="s">
        <v>91</v>
      </c>
      <c r="I53">
        <v>0.1</v>
      </c>
      <c r="J53">
        <v>3300</v>
      </c>
      <c r="K53">
        <v>0</v>
      </c>
      <c r="L53">
        <f t="shared" si="4"/>
        <v>330</v>
      </c>
      <c r="M53">
        <f t="shared" si="5"/>
        <v>0</v>
      </c>
      <c r="N53">
        <v>0</v>
      </c>
      <c r="O53">
        <v>0</v>
      </c>
      <c r="P53">
        <v>0</v>
      </c>
      <c r="Q53">
        <v>0</v>
      </c>
      <c r="S53">
        <v>0</v>
      </c>
      <c r="T53">
        <v>1100</v>
      </c>
      <c r="U53">
        <v>0</v>
      </c>
      <c r="V53">
        <v>0</v>
      </c>
      <c r="W53">
        <v>0</v>
      </c>
      <c r="X53">
        <v>39</v>
      </c>
      <c r="Y53">
        <v>0</v>
      </c>
      <c r="Z53" t="s">
        <v>114</v>
      </c>
      <c r="AA53" t="s">
        <v>115</v>
      </c>
      <c r="AB53" t="s">
        <v>116</v>
      </c>
      <c r="AC53">
        <v>0.1</v>
      </c>
      <c r="AD53">
        <v>19000</v>
      </c>
      <c r="AE53">
        <f t="shared" si="6"/>
        <v>1900</v>
      </c>
      <c r="AF53">
        <f t="shared" si="7"/>
        <v>-3039</v>
      </c>
    </row>
    <row r="54" spans="1:32" x14ac:dyDescent="0.2">
      <c r="A54" t="s">
        <v>283</v>
      </c>
      <c r="B54" t="s">
        <v>133</v>
      </c>
      <c r="C54" s="2" t="s">
        <v>275</v>
      </c>
      <c r="D54" t="s">
        <v>284</v>
      </c>
      <c r="E54" t="s">
        <v>285</v>
      </c>
      <c r="F54" t="s">
        <v>181</v>
      </c>
      <c r="G54" t="s">
        <v>227</v>
      </c>
      <c r="H54" t="s">
        <v>228</v>
      </c>
      <c r="I54">
        <v>0.3</v>
      </c>
      <c r="J54">
        <v>0</v>
      </c>
      <c r="K54">
        <v>25500</v>
      </c>
      <c r="L54">
        <f t="shared" si="4"/>
        <v>0</v>
      </c>
      <c r="M54">
        <f t="shared" si="5"/>
        <v>7650</v>
      </c>
      <c r="N54">
        <v>0</v>
      </c>
      <c r="O54">
        <v>0</v>
      </c>
      <c r="P54">
        <v>0</v>
      </c>
      <c r="Q54">
        <v>7650</v>
      </c>
      <c r="R54" s="1" t="s">
        <v>286</v>
      </c>
      <c r="S54">
        <v>0</v>
      </c>
      <c r="T54">
        <v>0</v>
      </c>
      <c r="U54">
        <v>0</v>
      </c>
      <c r="V54">
        <v>750</v>
      </c>
      <c r="W54">
        <v>29</v>
      </c>
      <c r="X54">
        <v>49</v>
      </c>
      <c r="Y54">
        <v>0</v>
      </c>
      <c r="Z54" t="s">
        <v>107</v>
      </c>
      <c r="AA54" t="s">
        <v>108</v>
      </c>
      <c r="AB54" t="s">
        <v>76</v>
      </c>
      <c r="AC54">
        <v>0.3</v>
      </c>
      <c r="AD54">
        <v>14333.33</v>
      </c>
      <c r="AE54">
        <f t="shared" si="6"/>
        <v>4299.9989999999998</v>
      </c>
      <c r="AF54">
        <f t="shared" si="7"/>
        <v>2522.0010000000002</v>
      </c>
    </row>
    <row r="55" spans="1:32" x14ac:dyDescent="0.2">
      <c r="A55" t="s">
        <v>287</v>
      </c>
      <c r="B55" t="s">
        <v>33</v>
      </c>
      <c r="C55" s="2" t="s">
        <v>277</v>
      </c>
      <c r="D55" t="s">
        <v>80</v>
      </c>
      <c r="E55" t="s">
        <v>81</v>
      </c>
      <c r="F55" t="s">
        <v>82</v>
      </c>
      <c r="G55" t="s">
        <v>84</v>
      </c>
      <c r="H55" t="s">
        <v>85</v>
      </c>
      <c r="I55">
        <v>11</v>
      </c>
      <c r="J55">
        <v>675</v>
      </c>
      <c r="K55">
        <v>0</v>
      </c>
      <c r="L55">
        <f t="shared" si="4"/>
        <v>7425</v>
      </c>
      <c r="M55">
        <f t="shared" si="5"/>
        <v>0</v>
      </c>
      <c r="N55">
        <v>13937</v>
      </c>
      <c r="O55">
        <v>0</v>
      </c>
      <c r="P55">
        <v>94176.49</v>
      </c>
      <c r="Q55">
        <v>0</v>
      </c>
      <c r="R55" s="1" t="s">
        <v>288</v>
      </c>
      <c r="S55">
        <v>1769.88</v>
      </c>
      <c r="T55">
        <v>2985.6</v>
      </c>
      <c r="U55">
        <v>108.19</v>
      </c>
      <c r="V55">
        <v>0</v>
      </c>
      <c r="W55">
        <v>0</v>
      </c>
      <c r="X55">
        <v>0</v>
      </c>
      <c r="Y55">
        <v>0</v>
      </c>
      <c r="Z55" t="s">
        <v>74</v>
      </c>
      <c r="AA55" t="s">
        <v>75</v>
      </c>
      <c r="AB55" t="s">
        <v>76</v>
      </c>
      <c r="AC55">
        <v>11</v>
      </c>
      <c r="AD55">
        <v>4050</v>
      </c>
      <c r="AE55">
        <f t="shared" si="6"/>
        <v>44550</v>
      </c>
      <c r="AF55">
        <f t="shared" si="7"/>
        <v>44762.819999999992</v>
      </c>
    </row>
    <row r="56" spans="1:32" x14ac:dyDescent="0.2">
      <c r="A56" t="s">
        <v>287</v>
      </c>
      <c r="B56" t="s">
        <v>33</v>
      </c>
      <c r="D56" t="s">
        <v>80</v>
      </c>
      <c r="E56" t="s">
        <v>81</v>
      </c>
      <c r="F56" t="s">
        <v>82</v>
      </c>
      <c r="G56" t="s">
        <v>47</v>
      </c>
      <c r="H56" t="s">
        <v>48</v>
      </c>
      <c r="I56">
        <v>8.8000000000000007</v>
      </c>
      <c r="J56">
        <v>740</v>
      </c>
      <c r="K56">
        <v>0</v>
      </c>
      <c r="L56">
        <f t="shared" si="4"/>
        <v>6512.0000000000009</v>
      </c>
      <c r="M56">
        <f t="shared" si="5"/>
        <v>0</v>
      </c>
      <c r="N56">
        <v>0</v>
      </c>
      <c r="O56">
        <v>0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74</v>
      </c>
      <c r="AA56" t="s">
        <v>75</v>
      </c>
      <c r="AB56" t="s">
        <v>76</v>
      </c>
      <c r="AC56">
        <v>8.8000000000000007</v>
      </c>
      <c r="AD56">
        <v>4450</v>
      </c>
      <c r="AE56">
        <f t="shared" si="6"/>
        <v>39160</v>
      </c>
      <c r="AF56">
        <f t="shared" si="7"/>
        <v>-39160</v>
      </c>
    </row>
    <row r="57" spans="1:32" x14ac:dyDescent="0.2">
      <c r="A57" t="s">
        <v>289</v>
      </c>
      <c r="B57" t="s">
        <v>33</v>
      </c>
      <c r="C57" s="2" t="s">
        <v>291</v>
      </c>
      <c r="D57" t="s">
        <v>166</v>
      </c>
      <c r="E57" t="s">
        <v>167</v>
      </c>
      <c r="F57" t="s">
        <v>168</v>
      </c>
      <c r="G57" t="s">
        <v>84</v>
      </c>
      <c r="H57" t="s">
        <v>85</v>
      </c>
      <c r="I57">
        <v>25.2</v>
      </c>
      <c r="J57">
        <v>675</v>
      </c>
      <c r="K57">
        <v>0</v>
      </c>
      <c r="L57">
        <f t="shared" si="4"/>
        <v>17010</v>
      </c>
      <c r="M57">
        <f t="shared" si="5"/>
        <v>0</v>
      </c>
      <c r="N57">
        <v>16998</v>
      </c>
      <c r="O57">
        <v>12</v>
      </c>
      <c r="P57">
        <v>121416.71</v>
      </c>
      <c r="Q57">
        <v>0</v>
      </c>
      <c r="R57" s="1" t="s">
        <v>290</v>
      </c>
      <c r="S57">
        <v>0</v>
      </c>
      <c r="T57">
        <v>3319.5</v>
      </c>
      <c r="U57">
        <v>0</v>
      </c>
      <c r="V57">
        <v>0</v>
      </c>
      <c r="W57">
        <v>365</v>
      </c>
      <c r="X57">
        <v>0</v>
      </c>
      <c r="Y57">
        <v>0</v>
      </c>
      <c r="Z57" t="s">
        <v>74</v>
      </c>
      <c r="AA57" t="s">
        <v>75</v>
      </c>
      <c r="AB57" t="s">
        <v>76</v>
      </c>
      <c r="AC57">
        <v>25.2</v>
      </c>
      <c r="AD57">
        <v>4050</v>
      </c>
      <c r="AE57">
        <f t="shared" si="6"/>
        <v>102060</v>
      </c>
      <c r="AF57">
        <f t="shared" si="7"/>
        <v>15672.210000000006</v>
      </c>
    </row>
    <row r="58" spans="1:32" x14ac:dyDescent="0.2">
      <c r="A58" t="s">
        <v>292</v>
      </c>
      <c r="B58" t="s">
        <v>33</v>
      </c>
      <c r="C58" s="2" t="s">
        <v>297</v>
      </c>
      <c r="D58" t="s">
        <v>293</v>
      </c>
      <c r="E58" t="s">
        <v>294</v>
      </c>
      <c r="F58" t="s">
        <v>295</v>
      </c>
      <c r="G58" t="s">
        <v>205</v>
      </c>
      <c r="H58" t="s">
        <v>206</v>
      </c>
      <c r="I58">
        <v>0.75</v>
      </c>
      <c r="J58">
        <v>1800</v>
      </c>
      <c r="K58">
        <v>0</v>
      </c>
      <c r="L58">
        <f t="shared" si="4"/>
        <v>1350</v>
      </c>
      <c r="M58">
        <f t="shared" si="5"/>
        <v>0</v>
      </c>
      <c r="N58">
        <v>1312</v>
      </c>
      <c r="O58">
        <v>38</v>
      </c>
      <c r="P58">
        <v>9142.5400000000009</v>
      </c>
      <c r="Q58">
        <v>0</v>
      </c>
      <c r="R58" s="1" t="s">
        <v>296</v>
      </c>
      <c r="S58">
        <v>0</v>
      </c>
      <c r="T58">
        <v>689.27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92</v>
      </c>
      <c r="AA58" t="s">
        <v>93</v>
      </c>
      <c r="AB58" t="s">
        <v>94</v>
      </c>
      <c r="AC58">
        <v>0.75</v>
      </c>
      <c r="AD58">
        <v>9300</v>
      </c>
      <c r="AE58">
        <f t="shared" si="6"/>
        <v>6975</v>
      </c>
      <c r="AF58">
        <f t="shared" si="7"/>
        <v>1478.2700000000004</v>
      </c>
    </row>
    <row r="59" spans="1:32" x14ac:dyDescent="0.2">
      <c r="A59" t="s">
        <v>298</v>
      </c>
      <c r="B59" t="s">
        <v>33</v>
      </c>
      <c r="C59" s="2" t="s">
        <v>302</v>
      </c>
      <c r="D59" t="s">
        <v>299</v>
      </c>
      <c r="E59" t="s">
        <v>300</v>
      </c>
      <c r="F59" t="s">
        <v>181</v>
      </c>
      <c r="G59" t="s">
        <v>205</v>
      </c>
      <c r="H59" t="s">
        <v>206</v>
      </c>
      <c r="I59">
        <v>9.5</v>
      </c>
      <c r="J59">
        <v>1730</v>
      </c>
      <c r="K59">
        <v>0</v>
      </c>
      <c r="L59">
        <f t="shared" si="4"/>
        <v>16435</v>
      </c>
      <c r="M59">
        <f t="shared" si="5"/>
        <v>0</v>
      </c>
      <c r="N59">
        <v>16350</v>
      </c>
      <c r="O59">
        <v>70</v>
      </c>
      <c r="P59">
        <v>114783.9</v>
      </c>
      <c r="Q59">
        <v>0</v>
      </c>
      <c r="R59" s="1" t="s">
        <v>301</v>
      </c>
      <c r="S59">
        <v>0</v>
      </c>
      <c r="T59">
        <v>5340</v>
      </c>
      <c r="U59">
        <v>0</v>
      </c>
      <c r="V59">
        <v>0</v>
      </c>
      <c r="W59">
        <v>0</v>
      </c>
      <c r="X59">
        <v>648</v>
      </c>
      <c r="Y59">
        <v>0</v>
      </c>
      <c r="Z59" t="s">
        <v>92</v>
      </c>
      <c r="AA59" t="s">
        <v>93</v>
      </c>
      <c r="AB59" t="s">
        <v>94</v>
      </c>
      <c r="AC59">
        <v>9.5</v>
      </c>
      <c r="AD59">
        <v>9200</v>
      </c>
      <c r="AE59">
        <f t="shared" si="6"/>
        <v>87400</v>
      </c>
      <c r="AF59">
        <f t="shared" si="7"/>
        <v>21395.899999999994</v>
      </c>
    </row>
    <row r="60" spans="1:32" x14ac:dyDescent="0.2">
      <c r="A60" t="s">
        <v>303</v>
      </c>
      <c r="B60" t="s">
        <v>133</v>
      </c>
      <c r="C60" s="2" t="s">
        <v>290</v>
      </c>
      <c r="D60" t="s">
        <v>304</v>
      </c>
      <c r="E60" t="s">
        <v>305</v>
      </c>
      <c r="F60" t="s">
        <v>306</v>
      </c>
      <c r="G60" t="s">
        <v>137</v>
      </c>
      <c r="H60" t="s">
        <v>138</v>
      </c>
      <c r="I60">
        <v>3</v>
      </c>
      <c r="J60">
        <v>0</v>
      </c>
      <c r="K60">
        <v>15500</v>
      </c>
      <c r="L60">
        <f t="shared" si="4"/>
        <v>0</v>
      </c>
      <c r="M60">
        <f t="shared" si="5"/>
        <v>46500</v>
      </c>
      <c r="N60">
        <v>0</v>
      </c>
      <c r="O60">
        <v>0</v>
      </c>
      <c r="P60">
        <v>0</v>
      </c>
      <c r="Q60">
        <v>46500</v>
      </c>
      <c r="R60" s="1" t="s">
        <v>307</v>
      </c>
      <c r="S60">
        <v>0</v>
      </c>
      <c r="T60">
        <v>0</v>
      </c>
      <c r="U60">
        <v>0</v>
      </c>
      <c r="V60">
        <v>0</v>
      </c>
      <c r="W60">
        <v>0</v>
      </c>
      <c r="X60">
        <v>38</v>
      </c>
      <c r="Y60">
        <v>0</v>
      </c>
      <c r="Z60" t="s">
        <v>39</v>
      </c>
      <c r="AA60" t="s">
        <v>40</v>
      </c>
      <c r="AB60" t="s">
        <v>41</v>
      </c>
      <c r="AC60">
        <v>3</v>
      </c>
      <c r="AD60">
        <v>12500</v>
      </c>
      <c r="AE60">
        <f t="shared" si="6"/>
        <v>37500</v>
      </c>
      <c r="AF60">
        <f t="shared" si="7"/>
        <v>8962</v>
      </c>
    </row>
    <row r="61" spans="1:32" x14ac:dyDescent="0.2">
      <c r="A61" t="s">
        <v>308</v>
      </c>
      <c r="B61" t="s">
        <v>33</v>
      </c>
      <c r="C61" s="2" t="s">
        <v>288</v>
      </c>
      <c r="D61" t="s">
        <v>104</v>
      </c>
      <c r="E61" t="s">
        <v>105</v>
      </c>
      <c r="F61" t="s">
        <v>106</v>
      </c>
      <c r="G61" t="s">
        <v>90</v>
      </c>
      <c r="H61" t="s">
        <v>91</v>
      </c>
      <c r="I61">
        <v>9.6</v>
      </c>
      <c r="J61">
        <v>2100</v>
      </c>
      <c r="K61">
        <v>0</v>
      </c>
      <c r="L61">
        <f t="shared" si="4"/>
        <v>20160</v>
      </c>
      <c r="M61">
        <f t="shared" si="5"/>
        <v>0</v>
      </c>
      <c r="N61">
        <v>20160</v>
      </c>
      <c r="O61">
        <v>0</v>
      </c>
      <c r="P61">
        <v>140803.49</v>
      </c>
      <c r="Q61">
        <v>0</v>
      </c>
      <c r="R61" s="1" t="s">
        <v>309</v>
      </c>
      <c r="S61">
        <v>11302.17</v>
      </c>
      <c r="T61">
        <v>3849</v>
      </c>
      <c r="U61">
        <v>0</v>
      </c>
      <c r="V61">
        <v>0</v>
      </c>
      <c r="W61">
        <v>160</v>
      </c>
      <c r="X61">
        <v>493</v>
      </c>
      <c r="Y61">
        <v>0</v>
      </c>
      <c r="Z61" t="s">
        <v>114</v>
      </c>
      <c r="AA61" t="s">
        <v>115</v>
      </c>
      <c r="AB61" t="s">
        <v>116</v>
      </c>
      <c r="AC61">
        <v>9.6</v>
      </c>
      <c r="AD61">
        <v>13300</v>
      </c>
      <c r="AE61">
        <f t="shared" si="6"/>
        <v>127680</v>
      </c>
      <c r="AF61">
        <f t="shared" si="7"/>
        <v>-2680.6800000000076</v>
      </c>
    </row>
    <row r="62" spans="1:32" x14ac:dyDescent="0.2">
      <c r="A62" t="s">
        <v>310</v>
      </c>
      <c r="B62" t="s">
        <v>33</v>
      </c>
      <c r="C62" s="2" t="s">
        <v>312</v>
      </c>
      <c r="D62" t="s">
        <v>104</v>
      </c>
      <c r="E62" t="s">
        <v>105</v>
      </c>
      <c r="F62" t="s">
        <v>106</v>
      </c>
      <c r="G62" t="s">
        <v>90</v>
      </c>
      <c r="H62" t="s">
        <v>91</v>
      </c>
      <c r="I62">
        <v>6.95</v>
      </c>
      <c r="J62">
        <v>2100</v>
      </c>
      <c r="K62">
        <v>0</v>
      </c>
      <c r="L62">
        <f t="shared" si="4"/>
        <v>14595</v>
      </c>
      <c r="M62">
        <f t="shared" si="5"/>
        <v>0</v>
      </c>
      <c r="N62">
        <v>20160</v>
      </c>
      <c r="O62">
        <v>0</v>
      </c>
      <c r="P62">
        <v>140803.49</v>
      </c>
      <c r="Q62">
        <v>0</v>
      </c>
      <c r="R62" s="1" t="s">
        <v>311</v>
      </c>
      <c r="S62">
        <v>18824.96</v>
      </c>
      <c r="T62">
        <v>2791</v>
      </c>
      <c r="U62">
        <v>0</v>
      </c>
      <c r="V62">
        <v>0</v>
      </c>
      <c r="W62">
        <v>160</v>
      </c>
      <c r="X62">
        <v>18</v>
      </c>
      <c r="Y62">
        <v>0</v>
      </c>
      <c r="Z62" t="s">
        <v>114</v>
      </c>
      <c r="AA62" t="s">
        <v>115</v>
      </c>
      <c r="AB62" t="s">
        <v>116</v>
      </c>
      <c r="AC62">
        <v>6.95</v>
      </c>
      <c r="AD62">
        <v>13300</v>
      </c>
      <c r="AE62">
        <f t="shared" si="6"/>
        <v>92435</v>
      </c>
      <c r="AF62">
        <f t="shared" si="7"/>
        <v>26574.53</v>
      </c>
    </row>
    <row r="63" spans="1:32" x14ac:dyDescent="0.2">
      <c r="A63" t="s">
        <v>310</v>
      </c>
      <c r="B63" t="s">
        <v>33</v>
      </c>
      <c r="C63" s="2"/>
      <c r="D63" t="s">
        <v>104</v>
      </c>
      <c r="E63" t="s">
        <v>105</v>
      </c>
      <c r="F63" t="s">
        <v>106</v>
      </c>
      <c r="G63" t="s">
        <v>37</v>
      </c>
      <c r="H63" t="s">
        <v>38</v>
      </c>
      <c r="I63">
        <v>1.5</v>
      </c>
      <c r="J63">
        <v>2760</v>
      </c>
      <c r="K63">
        <v>0</v>
      </c>
      <c r="L63">
        <f t="shared" si="4"/>
        <v>4140</v>
      </c>
      <c r="M63">
        <f t="shared" si="5"/>
        <v>0</v>
      </c>
      <c r="N63">
        <v>2272</v>
      </c>
      <c r="O63">
        <v>3</v>
      </c>
      <c r="P63">
        <v>14667.577600000001</v>
      </c>
      <c r="Q63">
        <v>0</v>
      </c>
      <c r="R63" s="1" t="s">
        <v>316</v>
      </c>
      <c r="S63">
        <v>0</v>
      </c>
      <c r="T63">
        <v>0</v>
      </c>
      <c r="U63">
        <v>414.9</v>
      </c>
      <c r="V63">
        <v>0</v>
      </c>
      <c r="W63">
        <v>0</v>
      </c>
      <c r="X63">
        <v>225</v>
      </c>
      <c r="Y63">
        <v>0</v>
      </c>
      <c r="Z63" t="s">
        <v>313</v>
      </c>
      <c r="AA63" t="s">
        <v>314</v>
      </c>
      <c r="AB63" t="s">
        <v>315</v>
      </c>
      <c r="AC63">
        <v>1.5</v>
      </c>
      <c r="AD63">
        <v>13000</v>
      </c>
      <c r="AE63">
        <f t="shared" si="6"/>
        <v>19500</v>
      </c>
      <c r="AF63">
        <f t="shared" si="7"/>
        <v>-5472.3223999999991</v>
      </c>
    </row>
    <row r="64" spans="1:32" x14ac:dyDescent="0.2">
      <c r="A64" t="s">
        <v>317</v>
      </c>
      <c r="B64" t="s">
        <v>33</v>
      </c>
      <c r="C64" s="2" t="s">
        <v>312</v>
      </c>
      <c r="D64" t="s">
        <v>104</v>
      </c>
      <c r="E64" t="s">
        <v>105</v>
      </c>
      <c r="F64" t="s">
        <v>106</v>
      </c>
      <c r="G64" t="s">
        <v>90</v>
      </c>
      <c r="H64" t="s">
        <v>91</v>
      </c>
      <c r="I64">
        <v>9.6</v>
      </c>
      <c r="J64">
        <v>2100</v>
      </c>
      <c r="K64">
        <v>0</v>
      </c>
      <c r="L64">
        <f t="shared" si="4"/>
        <v>20160</v>
      </c>
      <c r="M64">
        <f t="shared" si="5"/>
        <v>0</v>
      </c>
      <c r="N64">
        <v>20160</v>
      </c>
      <c r="O64">
        <v>0</v>
      </c>
      <c r="P64">
        <v>140803.49</v>
      </c>
      <c r="Q64">
        <v>0</v>
      </c>
      <c r="R64" s="1" t="s">
        <v>318</v>
      </c>
      <c r="S64">
        <v>18824.96</v>
      </c>
      <c r="T64">
        <v>2791</v>
      </c>
      <c r="U64">
        <v>0</v>
      </c>
      <c r="V64">
        <v>0</v>
      </c>
      <c r="W64">
        <v>160</v>
      </c>
      <c r="X64">
        <v>18</v>
      </c>
      <c r="Y64">
        <v>0</v>
      </c>
      <c r="Z64" t="s">
        <v>114</v>
      </c>
      <c r="AA64" t="s">
        <v>115</v>
      </c>
      <c r="AB64" t="s">
        <v>116</v>
      </c>
      <c r="AC64">
        <v>9.6</v>
      </c>
      <c r="AD64">
        <v>13300</v>
      </c>
      <c r="AE64">
        <f t="shared" si="6"/>
        <v>127680</v>
      </c>
      <c r="AF64">
        <f t="shared" si="7"/>
        <v>-8670.4700000000012</v>
      </c>
    </row>
    <row r="65" spans="1:32" x14ac:dyDescent="0.2">
      <c r="A65" t="s">
        <v>319</v>
      </c>
      <c r="B65" t="s">
        <v>33</v>
      </c>
      <c r="C65" s="2" t="s">
        <v>307</v>
      </c>
      <c r="D65" t="s">
        <v>104</v>
      </c>
      <c r="E65" t="s">
        <v>105</v>
      </c>
      <c r="F65" t="s">
        <v>106</v>
      </c>
      <c r="G65" t="s">
        <v>90</v>
      </c>
      <c r="H65" t="s">
        <v>91</v>
      </c>
      <c r="I65">
        <v>9.6</v>
      </c>
      <c r="J65">
        <v>2100</v>
      </c>
      <c r="K65">
        <v>0</v>
      </c>
      <c r="L65">
        <f t="shared" si="4"/>
        <v>20160</v>
      </c>
      <c r="M65">
        <f t="shared" si="5"/>
        <v>0</v>
      </c>
      <c r="N65">
        <v>20157</v>
      </c>
      <c r="O65">
        <v>3</v>
      </c>
      <c r="P65">
        <v>140782.53</v>
      </c>
      <c r="Q65">
        <v>0</v>
      </c>
      <c r="R65" s="1" t="s">
        <v>320</v>
      </c>
      <c r="S65">
        <v>23023.7</v>
      </c>
      <c r="T65">
        <v>2891</v>
      </c>
      <c r="U65">
        <v>200.4</v>
      </c>
      <c r="V65">
        <v>0</v>
      </c>
      <c r="W65">
        <v>160</v>
      </c>
      <c r="X65">
        <v>346</v>
      </c>
      <c r="Y65">
        <v>0</v>
      </c>
      <c r="Z65" t="s">
        <v>114</v>
      </c>
      <c r="AA65" t="s">
        <v>115</v>
      </c>
      <c r="AB65" t="s">
        <v>116</v>
      </c>
      <c r="AC65">
        <v>9.6</v>
      </c>
      <c r="AD65">
        <v>13800</v>
      </c>
      <c r="AE65">
        <f t="shared" si="6"/>
        <v>132480</v>
      </c>
      <c r="AF65">
        <f t="shared" si="7"/>
        <v>-18318.569999999992</v>
      </c>
    </row>
    <row r="66" spans="1:32" x14ac:dyDescent="0.2">
      <c r="A66" t="s">
        <v>321</v>
      </c>
      <c r="B66" t="s">
        <v>33</v>
      </c>
      <c r="C66" s="2" t="s">
        <v>311</v>
      </c>
      <c r="D66" t="s">
        <v>215</v>
      </c>
      <c r="E66" t="s">
        <v>216</v>
      </c>
      <c r="F66" t="s">
        <v>217</v>
      </c>
      <c r="G66" t="s">
        <v>54</v>
      </c>
      <c r="H66" t="s">
        <v>55</v>
      </c>
      <c r="I66">
        <v>4.4000000000000004</v>
      </c>
      <c r="J66">
        <v>1576</v>
      </c>
      <c r="K66">
        <v>0</v>
      </c>
      <c r="L66">
        <f t="shared" ref="L66:L97" si="8">I66*J66</f>
        <v>6934.4000000000005</v>
      </c>
      <c r="M66">
        <f t="shared" ref="M66:M97" si="9">I66*K66</f>
        <v>0</v>
      </c>
      <c r="N66">
        <v>18716.8</v>
      </c>
      <c r="O66">
        <v>112</v>
      </c>
      <c r="P66">
        <v>125222.88</v>
      </c>
      <c r="Q66">
        <v>0</v>
      </c>
      <c r="R66" s="1" t="s">
        <v>322</v>
      </c>
      <c r="S66">
        <v>8947.2000000000007</v>
      </c>
      <c r="T66">
        <v>4475</v>
      </c>
      <c r="U66">
        <v>144.6</v>
      </c>
      <c r="V66">
        <v>2900</v>
      </c>
      <c r="W66">
        <v>0</v>
      </c>
      <c r="X66">
        <v>250</v>
      </c>
      <c r="Y66">
        <v>0</v>
      </c>
      <c r="Z66" t="s">
        <v>49</v>
      </c>
      <c r="AA66" t="s">
        <v>50</v>
      </c>
      <c r="AB66" t="s">
        <v>51</v>
      </c>
      <c r="AC66">
        <v>4.4000000000000004</v>
      </c>
      <c r="AD66">
        <v>4500</v>
      </c>
      <c r="AE66">
        <f t="shared" ref="AE66:AE97" si="10">AC66*AD66</f>
        <v>19800</v>
      </c>
      <c r="AF66">
        <f t="shared" ref="AF66:AF97" si="11">P66+Q66-S66-T66-U66-V66-W66-X66-Y66-AE66</f>
        <v>88706.08</v>
      </c>
    </row>
    <row r="67" spans="1:32" x14ac:dyDescent="0.2">
      <c r="A67" t="s">
        <v>321</v>
      </c>
      <c r="B67" t="s">
        <v>33</v>
      </c>
      <c r="D67" t="s">
        <v>215</v>
      </c>
      <c r="E67" t="s">
        <v>216</v>
      </c>
      <c r="F67" t="s">
        <v>217</v>
      </c>
      <c r="G67" t="s">
        <v>90</v>
      </c>
      <c r="H67" t="s">
        <v>91</v>
      </c>
      <c r="I67">
        <v>5.76</v>
      </c>
      <c r="J67">
        <v>2065</v>
      </c>
      <c r="K67">
        <v>0</v>
      </c>
      <c r="L67">
        <f t="shared" si="8"/>
        <v>11894.4</v>
      </c>
      <c r="M67">
        <f t="shared" si="9"/>
        <v>0</v>
      </c>
      <c r="N67">
        <v>0</v>
      </c>
      <c r="O67">
        <v>0</v>
      </c>
      <c r="P67">
        <v>0</v>
      </c>
      <c r="Q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225</v>
      </c>
      <c r="Y67">
        <v>0</v>
      </c>
      <c r="Z67" t="s">
        <v>39</v>
      </c>
      <c r="AA67" t="s">
        <v>40</v>
      </c>
      <c r="AB67" t="s">
        <v>41</v>
      </c>
      <c r="AC67">
        <v>5.76</v>
      </c>
      <c r="AD67">
        <v>9800</v>
      </c>
      <c r="AE67">
        <f t="shared" si="10"/>
        <v>56448</v>
      </c>
      <c r="AF67">
        <f t="shared" si="11"/>
        <v>-56673</v>
      </c>
    </row>
    <row r="68" spans="1:32" x14ac:dyDescent="0.2">
      <c r="A68" t="s">
        <v>323</v>
      </c>
      <c r="B68" t="s">
        <v>33</v>
      </c>
      <c r="C68" s="2" t="s">
        <v>325</v>
      </c>
      <c r="D68" t="s">
        <v>192</v>
      </c>
      <c r="E68" t="s">
        <v>193</v>
      </c>
      <c r="F68" t="s">
        <v>194</v>
      </c>
      <c r="G68" t="s">
        <v>84</v>
      </c>
      <c r="H68" t="s">
        <v>85</v>
      </c>
      <c r="I68">
        <v>10.92</v>
      </c>
      <c r="J68">
        <v>670</v>
      </c>
      <c r="K68">
        <v>0</v>
      </c>
      <c r="L68">
        <f t="shared" si="8"/>
        <v>7316.4</v>
      </c>
      <c r="M68">
        <f t="shared" si="9"/>
        <v>0</v>
      </c>
      <c r="N68">
        <v>7296.4</v>
      </c>
      <c r="O68">
        <v>20</v>
      </c>
      <c r="P68">
        <v>51579.71</v>
      </c>
      <c r="Q68">
        <v>0</v>
      </c>
      <c r="R68" s="1" t="s">
        <v>324</v>
      </c>
      <c r="S68">
        <v>-1030</v>
      </c>
      <c r="T68">
        <v>2333</v>
      </c>
      <c r="U68">
        <v>100.06</v>
      </c>
      <c r="V68">
        <v>0</v>
      </c>
      <c r="W68">
        <v>0</v>
      </c>
      <c r="X68">
        <v>0</v>
      </c>
      <c r="Y68">
        <v>0</v>
      </c>
      <c r="Z68" t="s">
        <v>74</v>
      </c>
      <c r="AA68" t="s">
        <v>75</v>
      </c>
      <c r="AB68" t="s">
        <v>76</v>
      </c>
      <c r="AC68">
        <v>10.92</v>
      </c>
      <c r="AD68">
        <v>4300</v>
      </c>
      <c r="AE68">
        <f t="shared" si="10"/>
        <v>46956</v>
      </c>
      <c r="AF68">
        <f t="shared" si="11"/>
        <v>3220.6500000000015</v>
      </c>
    </row>
    <row r="69" spans="1:32" x14ac:dyDescent="0.2">
      <c r="A69" t="s">
        <v>326</v>
      </c>
      <c r="B69" t="s">
        <v>133</v>
      </c>
      <c r="C69" s="2" t="s">
        <v>320</v>
      </c>
      <c r="D69" t="s">
        <v>327</v>
      </c>
      <c r="E69" t="s">
        <v>328</v>
      </c>
      <c r="F69" t="s">
        <v>136</v>
      </c>
      <c r="G69" t="s">
        <v>182</v>
      </c>
      <c r="H69" t="s">
        <v>183</v>
      </c>
      <c r="I69">
        <v>1</v>
      </c>
      <c r="J69">
        <v>0</v>
      </c>
      <c r="K69">
        <v>18000</v>
      </c>
      <c r="L69">
        <f t="shared" si="8"/>
        <v>0</v>
      </c>
      <c r="M69">
        <f t="shared" si="9"/>
        <v>18000</v>
      </c>
      <c r="N69">
        <v>0</v>
      </c>
      <c r="O69">
        <v>0</v>
      </c>
      <c r="P69">
        <v>0</v>
      </c>
      <c r="Q69">
        <v>18000</v>
      </c>
      <c r="R69" s="1" t="s">
        <v>329</v>
      </c>
      <c r="S69">
        <v>0</v>
      </c>
      <c r="T69">
        <v>0</v>
      </c>
      <c r="U69">
        <v>0</v>
      </c>
      <c r="V69">
        <v>1750</v>
      </c>
      <c r="W69">
        <v>52</v>
      </c>
      <c r="X69">
        <v>31</v>
      </c>
      <c r="Y69">
        <v>0</v>
      </c>
      <c r="Z69" t="s">
        <v>107</v>
      </c>
      <c r="AA69" t="s">
        <v>108</v>
      </c>
      <c r="AB69" t="s">
        <v>76</v>
      </c>
      <c r="AC69">
        <v>1</v>
      </c>
      <c r="AD69">
        <v>12700</v>
      </c>
      <c r="AE69">
        <f t="shared" si="10"/>
        <v>12700</v>
      </c>
      <c r="AF69">
        <f t="shared" si="11"/>
        <v>3467</v>
      </c>
    </row>
    <row r="70" spans="1:32" x14ac:dyDescent="0.2">
      <c r="A70" t="s">
        <v>330</v>
      </c>
      <c r="B70" t="s">
        <v>33</v>
      </c>
      <c r="C70" s="2" t="s">
        <v>325</v>
      </c>
      <c r="D70" t="s">
        <v>69</v>
      </c>
      <c r="E70" t="s">
        <v>70</v>
      </c>
      <c r="F70" t="s">
        <v>71</v>
      </c>
      <c r="G70" t="s">
        <v>72</v>
      </c>
      <c r="H70" t="s">
        <v>73</v>
      </c>
      <c r="I70">
        <v>19.8</v>
      </c>
      <c r="J70">
        <v>813</v>
      </c>
      <c r="K70">
        <v>0</v>
      </c>
      <c r="L70">
        <f t="shared" si="8"/>
        <v>16097.400000000001</v>
      </c>
      <c r="M70">
        <f t="shared" si="9"/>
        <v>0</v>
      </c>
      <c r="N70">
        <v>16079.4</v>
      </c>
      <c r="O70">
        <v>18</v>
      </c>
      <c r="P70">
        <v>105450.3131</v>
      </c>
      <c r="Q70">
        <v>0</v>
      </c>
      <c r="R70" s="1" t="s">
        <v>331</v>
      </c>
      <c r="S70">
        <v>0</v>
      </c>
      <c r="T70">
        <v>0</v>
      </c>
      <c r="U70">
        <v>0</v>
      </c>
      <c r="V70">
        <v>0</v>
      </c>
      <c r="W70">
        <v>2597</v>
      </c>
      <c r="X70">
        <v>0</v>
      </c>
      <c r="Y70">
        <v>0</v>
      </c>
      <c r="Z70" t="s">
        <v>74</v>
      </c>
      <c r="AA70" t="s">
        <v>75</v>
      </c>
      <c r="AB70" t="s">
        <v>76</v>
      </c>
      <c r="AC70">
        <v>19.8</v>
      </c>
      <c r="AD70">
        <v>5100</v>
      </c>
      <c r="AE70">
        <f t="shared" si="10"/>
        <v>100980</v>
      </c>
      <c r="AF70">
        <f t="shared" si="11"/>
        <v>1873.3130999999994</v>
      </c>
    </row>
    <row r="71" spans="1:32" x14ac:dyDescent="0.2">
      <c r="A71" t="s">
        <v>332</v>
      </c>
      <c r="B71" t="s">
        <v>33</v>
      </c>
      <c r="C71" s="2" t="s">
        <v>322</v>
      </c>
      <c r="D71" t="s">
        <v>266</v>
      </c>
      <c r="E71" t="s">
        <v>267</v>
      </c>
      <c r="F71" t="s">
        <v>268</v>
      </c>
      <c r="G71" t="s">
        <v>84</v>
      </c>
      <c r="H71" t="s">
        <v>85</v>
      </c>
      <c r="I71">
        <v>10.92</v>
      </c>
      <c r="J71">
        <v>705</v>
      </c>
      <c r="K71">
        <v>0</v>
      </c>
      <c r="L71">
        <f t="shared" si="8"/>
        <v>7698.6</v>
      </c>
      <c r="M71">
        <f t="shared" si="9"/>
        <v>0</v>
      </c>
      <c r="N71">
        <v>7678.6</v>
      </c>
      <c r="O71">
        <v>0</v>
      </c>
      <c r="P71">
        <v>54181.74</v>
      </c>
      <c r="Q71">
        <v>0</v>
      </c>
      <c r="R71" s="1" t="s">
        <v>333</v>
      </c>
      <c r="S71">
        <v>-1030</v>
      </c>
      <c r="T71">
        <v>2433</v>
      </c>
      <c r="U71">
        <v>100.06</v>
      </c>
      <c r="V71">
        <v>0</v>
      </c>
      <c r="W71">
        <v>0</v>
      </c>
      <c r="X71">
        <v>0</v>
      </c>
      <c r="Y71">
        <v>0</v>
      </c>
      <c r="Z71" t="s">
        <v>74</v>
      </c>
      <c r="AA71" t="s">
        <v>75</v>
      </c>
      <c r="AB71" t="s">
        <v>76</v>
      </c>
      <c r="AC71">
        <v>10.92</v>
      </c>
      <c r="AD71">
        <v>4300</v>
      </c>
      <c r="AE71">
        <f t="shared" si="10"/>
        <v>46956</v>
      </c>
      <c r="AF71">
        <f t="shared" si="11"/>
        <v>5722.68</v>
      </c>
    </row>
    <row r="72" spans="1:32" x14ac:dyDescent="0.2">
      <c r="A72" t="s">
        <v>334</v>
      </c>
      <c r="B72" t="s">
        <v>133</v>
      </c>
      <c r="C72" s="2" t="s">
        <v>322</v>
      </c>
      <c r="D72" t="s">
        <v>284</v>
      </c>
      <c r="E72" t="s">
        <v>285</v>
      </c>
      <c r="F72" t="s">
        <v>181</v>
      </c>
      <c r="G72" t="s">
        <v>227</v>
      </c>
      <c r="H72" t="s">
        <v>228</v>
      </c>
      <c r="I72">
        <v>0.3</v>
      </c>
      <c r="J72">
        <v>0</v>
      </c>
      <c r="K72">
        <v>25500</v>
      </c>
      <c r="L72">
        <f t="shared" si="8"/>
        <v>0</v>
      </c>
      <c r="M72">
        <f t="shared" si="9"/>
        <v>7650</v>
      </c>
      <c r="N72">
        <v>0</v>
      </c>
      <c r="O72">
        <v>0</v>
      </c>
      <c r="P72">
        <v>0</v>
      </c>
      <c r="Q72">
        <v>7650</v>
      </c>
      <c r="R72" s="1" t="s">
        <v>335</v>
      </c>
      <c r="S72">
        <v>0</v>
      </c>
      <c r="T72">
        <v>0</v>
      </c>
      <c r="U72">
        <v>0</v>
      </c>
      <c r="V72">
        <v>900</v>
      </c>
      <c r="W72">
        <v>27</v>
      </c>
      <c r="X72">
        <v>31</v>
      </c>
      <c r="Y72">
        <v>0</v>
      </c>
      <c r="Z72" t="s">
        <v>107</v>
      </c>
      <c r="AA72" t="s">
        <v>108</v>
      </c>
      <c r="AB72" t="s">
        <v>76</v>
      </c>
      <c r="AC72">
        <v>0.3</v>
      </c>
      <c r="AD72">
        <v>14333.33</v>
      </c>
      <c r="AE72">
        <f t="shared" si="10"/>
        <v>4299.9989999999998</v>
      </c>
      <c r="AF72">
        <f t="shared" si="11"/>
        <v>2392.0010000000002</v>
      </c>
    </row>
    <row r="73" spans="1:32" x14ac:dyDescent="0.2">
      <c r="A73" t="s">
        <v>336</v>
      </c>
      <c r="B73" t="s">
        <v>33</v>
      </c>
      <c r="C73" s="2" t="s">
        <v>338</v>
      </c>
      <c r="D73" t="s">
        <v>166</v>
      </c>
      <c r="E73" t="s">
        <v>167</v>
      </c>
      <c r="F73" t="s">
        <v>168</v>
      </c>
      <c r="G73" t="s">
        <v>84</v>
      </c>
      <c r="H73" t="s">
        <v>85</v>
      </c>
      <c r="I73">
        <v>25.1</v>
      </c>
      <c r="J73">
        <v>735</v>
      </c>
      <c r="K73">
        <v>0</v>
      </c>
      <c r="L73">
        <f t="shared" si="8"/>
        <v>18448.5</v>
      </c>
      <c r="M73">
        <f t="shared" si="9"/>
        <v>0</v>
      </c>
      <c r="N73">
        <v>18436.5</v>
      </c>
      <c r="O73">
        <v>12</v>
      </c>
      <c r="P73">
        <v>130156.16</v>
      </c>
      <c r="Q73">
        <v>0</v>
      </c>
      <c r="R73" s="1" t="s">
        <v>337</v>
      </c>
      <c r="S73">
        <v>0</v>
      </c>
      <c r="T73">
        <v>4178</v>
      </c>
      <c r="U73">
        <v>0</v>
      </c>
      <c r="V73">
        <v>0</v>
      </c>
      <c r="W73">
        <v>65</v>
      </c>
      <c r="X73">
        <v>393</v>
      </c>
      <c r="Y73">
        <v>0</v>
      </c>
      <c r="Z73" t="s">
        <v>74</v>
      </c>
      <c r="AA73" t="s">
        <v>75</v>
      </c>
      <c r="AB73" t="s">
        <v>76</v>
      </c>
      <c r="AC73">
        <v>25.1</v>
      </c>
      <c r="AD73">
        <v>4300</v>
      </c>
      <c r="AE73">
        <f t="shared" si="10"/>
        <v>107930</v>
      </c>
      <c r="AF73">
        <f t="shared" si="11"/>
        <v>17590.160000000003</v>
      </c>
    </row>
    <row r="74" spans="1:32" x14ac:dyDescent="0.2">
      <c r="A74" t="s">
        <v>339</v>
      </c>
      <c r="B74" t="s">
        <v>33</v>
      </c>
      <c r="C74" s="2" t="s">
        <v>341</v>
      </c>
      <c r="D74" t="s">
        <v>80</v>
      </c>
      <c r="E74" t="s">
        <v>81</v>
      </c>
      <c r="F74" t="s">
        <v>82</v>
      </c>
      <c r="G74" t="s">
        <v>72</v>
      </c>
      <c r="H74" t="s">
        <v>73</v>
      </c>
      <c r="I74">
        <v>11</v>
      </c>
      <c r="J74">
        <v>790</v>
      </c>
      <c r="K74">
        <v>0</v>
      </c>
      <c r="L74">
        <f t="shared" si="8"/>
        <v>8690</v>
      </c>
      <c r="M74">
        <f t="shared" si="9"/>
        <v>0</v>
      </c>
      <c r="N74">
        <v>16416</v>
      </c>
      <c r="O74">
        <v>18</v>
      </c>
      <c r="P74">
        <v>110927.84</v>
      </c>
      <c r="Q74">
        <v>0</v>
      </c>
      <c r="R74" s="1" t="s">
        <v>340</v>
      </c>
      <c r="S74">
        <v>1190</v>
      </c>
      <c r="T74">
        <v>3326</v>
      </c>
      <c r="U74">
        <v>128</v>
      </c>
      <c r="V74">
        <v>2970</v>
      </c>
      <c r="W74">
        <v>0</v>
      </c>
      <c r="X74">
        <v>26</v>
      </c>
      <c r="Y74">
        <v>0</v>
      </c>
      <c r="Z74" t="s">
        <v>49</v>
      </c>
      <c r="AA74" t="s">
        <v>50</v>
      </c>
      <c r="AB74" t="s">
        <v>51</v>
      </c>
      <c r="AC74">
        <v>11</v>
      </c>
      <c r="AD74">
        <v>4550</v>
      </c>
      <c r="AE74">
        <f t="shared" si="10"/>
        <v>50050</v>
      </c>
      <c r="AF74">
        <f t="shared" si="11"/>
        <v>53237.84</v>
      </c>
    </row>
    <row r="75" spans="1:32" x14ac:dyDescent="0.2">
      <c r="A75" t="s">
        <v>342</v>
      </c>
      <c r="B75" t="s">
        <v>33</v>
      </c>
      <c r="C75" s="2" t="s">
        <v>335</v>
      </c>
      <c r="D75" t="s">
        <v>343</v>
      </c>
      <c r="E75" t="s">
        <v>344</v>
      </c>
      <c r="F75" t="s">
        <v>345</v>
      </c>
      <c r="G75" t="s">
        <v>137</v>
      </c>
      <c r="H75" t="s">
        <v>138</v>
      </c>
      <c r="I75">
        <v>0.05</v>
      </c>
      <c r="J75">
        <v>16850</v>
      </c>
      <c r="K75">
        <v>0</v>
      </c>
      <c r="L75">
        <f t="shared" si="8"/>
        <v>842.5</v>
      </c>
      <c r="M75">
        <f t="shared" si="9"/>
        <v>0</v>
      </c>
      <c r="N75">
        <v>832.5</v>
      </c>
      <c r="O75">
        <v>10</v>
      </c>
      <c r="P75">
        <v>5567.2605000000003</v>
      </c>
      <c r="Q75">
        <v>0</v>
      </c>
      <c r="R75" s="1" t="s">
        <v>346</v>
      </c>
      <c r="S75">
        <v>-315</v>
      </c>
      <c r="T75">
        <v>210</v>
      </c>
      <c r="U75">
        <v>0</v>
      </c>
      <c r="V75">
        <v>0</v>
      </c>
      <c r="W75">
        <v>65</v>
      </c>
      <c r="X75">
        <v>0</v>
      </c>
      <c r="Y75">
        <v>544</v>
      </c>
      <c r="Z75" t="s">
        <v>39</v>
      </c>
      <c r="AA75" t="s">
        <v>40</v>
      </c>
      <c r="AB75" t="s">
        <v>41</v>
      </c>
      <c r="AC75">
        <v>0.05</v>
      </c>
      <c r="AD75">
        <v>85000</v>
      </c>
      <c r="AE75">
        <f t="shared" si="10"/>
        <v>4250</v>
      </c>
      <c r="AF75">
        <f t="shared" si="11"/>
        <v>813.26050000000032</v>
      </c>
    </row>
    <row r="76" spans="1:32" x14ac:dyDescent="0.2">
      <c r="A76" t="s">
        <v>347</v>
      </c>
      <c r="B76" t="s">
        <v>33</v>
      </c>
      <c r="C76" s="2" t="s">
        <v>352</v>
      </c>
      <c r="D76" t="s">
        <v>348</v>
      </c>
      <c r="E76" t="s">
        <v>349</v>
      </c>
      <c r="F76" t="s">
        <v>350</v>
      </c>
      <c r="G76" t="s">
        <v>90</v>
      </c>
      <c r="H76" t="s">
        <v>91</v>
      </c>
      <c r="I76">
        <v>2</v>
      </c>
      <c r="J76">
        <v>2200</v>
      </c>
      <c r="K76">
        <v>0</v>
      </c>
      <c r="L76">
        <f t="shared" si="8"/>
        <v>4400</v>
      </c>
      <c r="M76">
        <f t="shared" si="9"/>
        <v>0</v>
      </c>
      <c r="N76">
        <v>4350</v>
      </c>
      <c r="O76">
        <v>50</v>
      </c>
      <c r="P76">
        <v>30429.56</v>
      </c>
      <c r="Q76">
        <v>0</v>
      </c>
      <c r="R76" s="1" t="s">
        <v>351</v>
      </c>
      <c r="S76">
        <v>0</v>
      </c>
      <c r="T76">
        <v>2430</v>
      </c>
      <c r="U76">
        <v>0</v>
      </c>
      <c r="V76">
        <v>0</v>
      </c>
      <c r="W76">
        <v>0</v>
      </c>
      <c r="X76">
        <v>393</v>
      </c>
      <c r="Y76">
        <v>0</v>
      </c>
      <c r="Z76" t="s">
        <v>128</v>
      </c>
      <c r="AA76" t="s">
        <v>129</v>
      </c>
      <c r="AB76" t="s">
        <v>130</v>
      </c>
      <c r="AC76">
        <v>2</v>
      </c>
      <c r="AD76">
        <v>10450</v>
      </c>
      <c r="AE76">
        <f t="shared" si="10"/>
        <v>20900</v>
      </c>
      <c r="AF76">
        <f t="shared" si="11"/>
        <v>6706.5600000000013</v>
      </c>
    </row>
    <row r="77" spans="1:32" x14ac:dyDescent="0.2">
      <c r="A77" t="s">
        <v>353</v>
      </c>
      <c r="B77" t="s">
        <v>33</v>
      </c>
      <c r="C77" s="2" t="s">
        <v>335</v>
      </c>
      <c r="D77" t="s">
        <v>354</v>
      </c>
      <c r="E77" t="s">
        <v>355</v>
      </c>
      <c r="F77" t="s">
        <v>356</v>
      </c>
      <c r="G77" t="s">
        <v>137</v>
      </c>
      <c r="H77" t="s">
        <v>138</v>
      </c>
      <c r="I77">
        <v>2</v>
      </c>
      <c r="J77">
        <v>1400</v>
      </c>
      <c r="K77">
        <v>0</v>
      </c>
      <c r="L77">
        <f t="shared" si="8"/>
        <v>2800</v>
      </c>
      <c r="M77">
        <f t="shared" si="9"/>
        <v>0</v>
      </c>
      <c r="N77">
        <v>2758</v>
      </c>
      <c r="O77">
        <v>42</v>
      </c>
      <c r="P77">
        <v>19290.279399999999</v>
      </c>
      <c r="Q77">
        <v>0</v>
      </c>
      <c r="R77" s="1" t="s">
        <v>357</v>
      </c>
      <c r="S77">
        <v>-1610</v>
      </c>
      <c r="T77">
        <v>0</v>
      </c>
      <c r="U77">
        <v>35.4</v>
      </c>
      <c r="V77">
        <v>0</v>
      </c>
      <c r="W77">
        <v>0</v>
      </c>
      <c r="X77">
        <v>274</v>
      </c>
      <c r="Y77">
        <v>0</v>
      </c>
      <c r="Z77" t="s">
        <v>92</v>
      </c>
      <c r="AA77" t="s">
        <v>93</v>
      </c>
      <c r="AB77" t="s">
        <v>94</v>
      </c>
      <c r="AC77">
        <v>2</v>
      </c>
      <c r="AD77">
        <v>8200</v>
      </c>
      <c r="AE77">
        <f t="shared" si="10"/>
        <v>16400</v>
      </c>
      <c r="AF77">
        <f t="shared" si="11"/>
        <v>4190.879399999998</v>
      </c>
    </row>
    <row r="78" spans="1:32" x14ac:dyDescent="0.2">
      <c r="A78" t="s">
        <v>358</v>
      </c>
      <c r="B78" t="s">
        <v>133</v>
      </c>
      <c r="C78" s="2" t="s">
        <v>360</v>
      </c>
      <c r="D78" t="s">
        <v>134</v>
      </c>
      <c r="E78" t="s">
        <v>135</v>
      </c>
      <c r="F78" t="s">
        <v>136</v>
      </c>
      <c r="G78" t="s">
        <v>137</v>
      </c>
      <c r="H78" t="s">
        <v>138</v>
      </c>
      <c r="I78">
        <v>1.5</v>
      </c>
      <c r="J78">
        <v>0</v>
      </c>
      <c r="K78">
        <v>15250</v>
      </c>
      <c r="L78">
        <f t="shared" si="8"/>
        <v>0</v>
      </c>
      <c r="M78">
        <f t="shared" si="9"/>
        <v>22875</v>
      </c>
      <c r="N78">
        <v>0</v>
      </c>
      <c r="O78">
        <v>0</v>
      </c>
      <c r="P78">
        <v>0</v>
      </c>
      <c r="Q78">
        <v>26875</v>
      </c>
      <c r="R78" s="1" t="s">
        <v>359</v>
      </c>
      <c r="S78">
        <v>0</v>
      </c>
      <c r="T78">
        <v>0</v>
      </c>
      <c r="U78">
        <v>0</v>
      </c>
      <c r="V78">
        <v>0</v>
      </c>
      <c r="W78">
        <v>0</v>
      </c>
      <c r="X78">
        <v>18</v>
      </c>
      <c r="Y78">
        <v>0</v>
      </c>
      <c r="Z78" t="s">
        <v>92</v>
      </c>
      <c r="AA78" t="s">
        <v>93</v>
      </c>
      <c r="AB78" t="s">
        <v>94</v>
      </c>
      <c r="AC78">
        <v>1.5</v>
      </c>
      <c r="AD78">
        <v>8200</v>
      </c>
      <c r="AE78">
        <f t="shared" si="10"/>
        <v>12300</v>
      </c>
      <c r="AF78">
        <f t="shared" si="11"/>
        <v>14557</v>
      </c>
    </row>
    <row r="79" spans="1:32" x14ac:dyDescent="0.2">
      <c r="A79" t="s">
        <v>358</v>
      </c>
      <c r="B79" t="s">
        <v>133</v>
      </c>
      <c r="D79" t="s">
        <v>134</v>
      </c>
      <c r="E79" t="s">
        <v>135</v>
      </c>
      <c r="F79" t="s">
        <v>136</v>
      </c>
      <c r="G79" t="s">
        <v>182</v>
      </c>
      <c r="H79" t="s">
        <v>183</v>
      </c>
      <c r="I79">
        <v>0.2</v>
      </c>
      <c r="J79">
        <v>0</v>
      </c>
      <c r="K79">
        <v>20000</v>
      </c>
      <c r="L79">
        <f t="shared" si="8"/>
        <v>0</v>
      </c>
      <c r="M79">
        <f t="shared" si="9"/>
        <v>4000</v>
      </c>
      <c r="N79">
        <v>0</v>
      </c>
      <c r="O79">
        <v>0</v>
      </c>
      <c r="P79">
        <v>0</v>
      </c>
      <c r="Q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39</v>
      </c>
      <c r="AA79" t="s">
        <v>40</v>
      </c>
      <c r="AB79" t="s">
        <v>41</v>
      </c>
      <c r="AC79">
        <v>0.2</v>
      </c>
      <c r="AD79">
        <v>18000</v>
      </c>
      <c r="AE79">
        <f t="shared" si="10"/>
        <v>3600</v>
      </c>
      <c r="AF79">
        <f t="shared" si="11"/>
        <v>-3600</v>
      </c>
    </row>
    <row r="80" spans="1:32" x14ac:dyDescent="0.2">
      <c r="A80" t="s">
        <v>361</v>
      </c>
      <c r="B80" t="s">
        <v>33</v>
      </c>
      <c r="C80" s="2" t="s">
        <v>351</v>
      </c>
      <c r="D80" t="s">
        <v>362</v>
      </c>
      <c r="E80" t="s">
        <v>363</v>
      </c>
      <c r="F80" t="s">
        <v>364</v>
      </c>
      <c r="G80" t="s">
        <v>182</v>
      </c>
      <c r="H80" t="s">
        <v>183</v>
      </c>
      <c r="I80">
        <v>9.6</v>
      </c>
      <c r="J80">
        <v>2500</v>
      </c>
      <c r="K80">
        <v>0</v>
      </c>
      <c r="L80">
        <f t="shared" si="8"/>
        <v>24000</v>
      </c>
      <c r="M80">
        <f t="shared" si="9"/>
        <v>0</v>
      </c>
      <c r="N80">
        <v>23928.2</v>
      </c>
      <c r="O80">
        <v>71.8</v>
      </c>
      <c r="P80">
        <v>160776.66</v>
      </c>
      <c r="Q80">
        <v>0</v>
      </c>
      <c r="R80" s="1" t="s">
        <v>365</v>
      </c>
      <c r="S80">
        <v>19557.3</v>
      </c>
      <c r="T80">
        <v>5460</v>
      </c>
      <c r="U80">
        <v>0</v>
      </c>
      <c r="V80">
        <v>0</v>
      </c>
      <c r="W80">
        <v>390</v>
      </c>
      <c r="X80">
        <v>339</v>
      </c>
      <c r="Y80">
        <v>0</v>
      </c>
      <c r="Z80" t="s">
        <v>114</v>
      </c>
      <c r="AA80" t="s">
        <v>115</v>
      </c>
      <c r="AB80" t="s">
        <v>116</v>
      </c>
      <c r="AC80">
        <v>9.6</v>
      </c>
      <c r="AD80">
        <v>10920</v>
      </c>
      <c r="AE80">
        <f t="shared" si="10"/>
        <v>104832</v>
      </c>
      <c r="AF80">
        <f t="shared" si="11"/>
        <v>30198.360000000015</v>
      </c>
    </row>
    <row r="81" spans="1:32" x14ac:dyDescent="0.2">
      <c r="A81" t="s">
        <v>366</v>
      </c>
      <c r="B81" t="s">
        <v>33</v>
      </c>
      <c r="C81" s="2" t="s">
        <v>346</v>
      </c>
      <c r="D81" t="s">
        <v>367</v>
      </c>
      <c r="E81" t="s">
        <v>368</v>
      </c>
      <c r="F81" t="s">
        <v>63</v>
      </c>
      <c r="G81" t="s">
        <v>37</v>
      </c>
      <c r="H81" t="s">
        <v>38</v>
      </c>
      <c r="I81">
        <v>1.9</v>
      </c>
      <c r="J81">
        <v>2250</v>
      </c>
      <c r="K81">
        <v>0</v>
      </c>
      <c r="L81">
        <f t="shared" si="8"/>
        <v>4275</v>
      </c>
      <c r="M81">
        <f t="shared" si="9"/>
        <v>0</v>
      </c>
      <c r="N81">
        <v>5528</v>
      </c>
      <c r="O81">
        <v>102</v>
      </c>
      <c r="P81">
        <v>38352.71</v>
      </c>
      <c r="Q81">
        <v>0</v>
      </c>
      <c r="R81" s="1" t="s">
        <v>369</v>
      </c>
      <c r="S81">
        <v>0</v>
      </c>
      <c r="T81">
        <v>812.3</v>
      </c>
      <c r="U81">
        <v>0</v>
      </c>
      <c r="V81">
        <v>0</v>
      </c>
      <c r="W81">
        <v>65</v>
      </c>
      <c r="X81">
        <v>240</v>
      </c>
      <c r="Y81">
        <v>0</v>
      </c>
      <c r="Z81" t="s">
        <v>128</v>
      </c>
      <c r="AA81" t="s">
        <v>129</v>
      </c>
      <c r="AB81" t="s">
        <v>130</v>
      </c>
      <c r="AC81">
        <v>1.9</v>
      </c>
      <c r="AD81">
        <v>12450</v>
      </c>
      <c r="AE81">
        <f t="shared" si="10"/>
        <v>23655</v>
      </c>
      <c r="AF81">
        <f t="shared" si="11"/>
        <v>13580.409999999996</v>
      </c>
    </row>
    <row r="82" spans="1:32" x14ac:dyDescent="0.2">
      <c r="A82" t="s">
        <v>366</v>
      </c>
      <c r="B82" t="s">
        <v>33</v>
      </c>
      <c r="D82" t="s">
        <v>367</v>
      </c>
      <c r="E82" t="s">
        <v>368</v>
      </c>
      <c r="F82" t="s">
        <v>63</v>
      </c>
      <c r="G82" t="s">
        <v>137</v>
      </c>
      <c r="H82" t="s">
        <v>138</v>
      </c>
      <c r="I82">
        <v>0.1</v>
      </c>
      <c r="J82">
        <v>13550</v>
      </c>
      <c r="K82">
        <v>0</v>
      </c>
      <c r="L82">
        <f t="shared" si="8"/>
        <v>1355</v>
      </c>
      <c r="M82">
        <f t="shared" si="9"/>
        <v>0</v>
      </c>
      <c r="N82">
        <v>0</v>
      </c>
      <c r="O82">
        <v>0</v>
      </c>
      <c r="P82">
        <v>0</v>
      </c>
      <c r="Q82">
        <v>0</v>
      </c>
      <c r="S82">
        <v>0</v>
      </c>
      <c r="T82">
        <v>940</v>
      </c>
      <c r="U82">
        <v>0</v>
      </c>
      <c r="V82">
        <v>0</v>
      </c>
      <c r="W82">
        <v>0</v>
      </c>
      <c r="X82">
        <v>24</v>
      </c>
      <c r="Y82">
        <v>544</v>
      </c>
      <c r="Z82" t="s">
        <v>39</v>
      </c>
      <c r="AA82" t="s">
        <v>40</v>
      </c>
      <c r="AB82" t="s">
        <v>41</v>
      </c>
      <c r="AC82">
        <v>0.1</v>
      </c>
      <c r="AD82">
        <v>85000</v>
      </c>
      <c r="AE82">
        <f t="shared" si="10"/>
        <v>8500</v>
      </c>
      <c r="AF82">
        <f t="shared" si="11"/>
        <v>-10008</v>
      </c>
    </row>
    <row r="83" spans="1:32" x14ac:dyDescent="0.2">
      <c r="A83" t="s">
        <v>370</v>
      </c>
      <c r="B83" t="s">
        <v>133</v>
      </c>
      <c r="C83" s="2" t="s">
        <v>376</v>
      </c>
      <c r="D83" t="s">
        <v>371</v>
      </c>
      <c r="E83" t="s">
        <v>372</v>
      </c>
      <c r="F83" t="s">
        <v>373</v>
      </c>
      <c r="G83" t="s">
        <v>374</v>
      </c>
      <c r="H83" t="s">
        <v>91</v>
      </c>
      <c r="I83">
        <v>14.4</v>
      </c>
      <c r="J83">
        <v>0</v>
      </c>
      <c r="K83">
        <v>8800</v>
      </c>
      <c r="L83">
        <f t="shared" si="8"/>
        <v>0</v>
      </c>
      <c r="M83">
        <f t="shared" si="9"/>
        <v>126720</v>
      </c>
      <c r="N83">
        <v>0</v>
      </c>
      <c r="O83">
        <v>0</v>
      </c>
      <c r="P83">
        <v>0</v>
      </c>
      <c r="Q83">
        <v>126720</v>
      </c>
      <c r="R83" s="1" t="s">
        <v>375</v>
      </c>
      <c r="S83">
        <v>0</v>
      </c>
      <c r="T83">
        <v>0</v>
      </c>
      <c r="U83">
        <v>0</v>
      </c>
      <c r="V83">
        <v>7488</v>
      </c>
      <c r="W83">
        <v>32400</v>
      </c>
      <c r="X83">
        <v>0</v>
      </c>
      <c r="Y83">
        <v>0</v>
      </c>
      <c r="Z83" t="s">
        <v>56</v>
      </c>
      <c r="AA83" t="s">
        <v>57</v>
      </c>
      <c r="AB83" t="s">
        <v>58</v>
      </c>
      <c r="AC83">
        <v>14.4</v>
      </c>
      <c r="AD83">
        <v>4800</v>
      </c>
      <c r="AE83">
        <f t="shared" si="10"/>
        <v>69120</v>
      </c>
      <c r="AF83">
        <f t="shared" si="11"/>
        <v>17712</v>
      </c>
    </row>
    <row r="84" spans="1:32" x14ac:dyDescent="0.2">
      <c r="A84" t="s">
        <v>377</v>
      </c>
      <c r="B84" t="s">
        <v>133</v>
      </c>
      <c r="C84" s="2" t="s">
        <v>359</v>
      </c>
      <c r="D84" t="s">
        <v>378</v>
      </c>
      <c r="E84" t="s">
        <v>379</v>
      </c>
      <c r="F84" t="s">
        <v>380</v>
      </c>
      <c r="G84" t="s">
        <v>182</v>
      </c>
      <c r="H84" t="s">
        <v>183</v>
      </c>
      <c r="I84">
        <v>1</v>
      </c>
      <c r="J84">
        <v>0</v>
      </c>
      <c r="K84">
        <v>18500</v>
      </c>
      <c r="L84">
        <f t="shared" si="8"/>
        <v>0</v>
      </c>
      <c r="M84">
        <f t="shared" si="9"/>
        <v>18500</v>
      </c>
      <c r="N84">
        <v>0</v>
      </c>
      <c r="O84">
        <v>0</v>
      </c>
      <c r="P84">
        <v>0</v>
      </c>
      <c r="Q84">
        <v>18500</v>
      </c>
      <c r="R84" s="1" t="s">
        <v>384</v>
      </c>
      <c r="S84">
        <v>0</v>
      </c>
      <c r="T84">
        <v>0</v>
      </c>
      <c r="U84">
        <v>0</v>
      </c>
      <c r="V84">
        <v>0</v>
      </c>
      <c r="W84">
        <v>1500</v>
      </c>
      <c r="X84">
        <v>18</v>
      </c>
      <c r="Y84">
        <v>0</v>
      </c>
      <c r="Z84" t="s">
        <v>381</v>
      </c>
      <c r="AA84" t="s">
        <v>382</v>
      </c>
      <c r="AB84" t="s">
        <v>383</v>
      </c>
      <c r="AC84">
        <v>1</v>
      </c>
      <c r="AD84">
        <v>13000</v>
      </c>
      <c r="AE84">
        <f t="shared" si="10"/>
        <v>13000</v>
      </c>
      <c r="AF84">
        <f t="shared" si="11"/>
        <v>3982</v>
      </c>
    </row>
    <row r="85" spans="1:32" x14ac:dyDescent="0.2">
      <c r="A85" t="s">
        <v>385</v>
      </c>
      <c r="B85" t="s">
        <v>33</v>
      </c>
      <c r="C85" s="2" t="s">
        <v>369</v>
      </c>
      <c r="D85" t="s">
        <v>386</v>
      </c>
      <c r="E85" t="s">
        <v>387</v>
      </c>
      <c r="F85" t="s">
        <v>388</v>
      </c>
      <c r="G85" t="s">
        <v>205</v>
      </c>
      <c r="H85" t="s">
        <v>206</v>
      </c>
      <c r="I85">
        <v>1</v>
      </c>
      <c r="J85">
        <v>1780</v>
      </c>
      <c r="K85">
        <v>0</v>
      </c>
      <c r="L85">
        <f t="shared" si="8"/>
        <v>1780</v>
      </c>
      <c r="M85">
        <f t="shared" si="9"/>
        <v>0</v>
      </c>
      <c r="N85">
        <v>7600</v>
      </c>
      <c r="O85">
        <v>40</v>
      </c>
      <c r="P85">
        <v>53133.88</v>
      </c>
      <c r="Q85">
        <v>0</v>
      </c>
      <c r="R85" s="1" t="s">
        <v>389</v>
      </c>
      <c r="S85">
        <v>0</v>
      </c>
      <c r="T85">
        <v>657</v>
      </c>
      <c r="U85">
        <v>59.4</v>
      </c>
      <c r="V85">
        <v>0</v>
      </c>
      <c r="W85">
        <v>0</v>
      </c>
      <c r="X85">
        <v>144</v>
      </c>
      <c r="Y85">
        <v>0</v>
      </c>
      <c r="Z85" t="s">
        <v>92</v>
      </c>
      <c r="AA85" t="s">
        <v>93</v>
      </c>
      <c r="AB85" t="s">
        <v>94</v>
      </c>
      <c r="AC85">
        <v>1</v>
      </c>
      <c r="AD85">
        <v>9000</v>
      </c>
      <c r="AE85">
        <f t="shared" si="10"/>
        <v>9000</v>
      </c>
      <c r="AF85">
        <f t="shared" si="11"/>
        <v>43273.479999999996</v>
      </c>
    </row>
    <row r="86" spans="1:32" x14ac:dyDescent="0.2">
      <c r="A86" t="s">
        <v>385</v>
      </c>
      <c r="B86" t="s">
        <v>33</v>
      </c>
      <c r="D86" t="s">
        <v>386</v>
      </c>
      <c r="E86" t="s">
        <v>387</v>
      </c>
      <c r="F86" t="s">
        <v>388</v>
      </c>
      <c r="G86" t="s">
        <v>227</v>
      </c>
      <c r="H86" t="s">
        <v>228</v>
      </c>
      <c r="I86">
        <v>2</v>
      </c>
      <c r="J86">
        <v>2930</v>
      </c>
      <c r="K86">
        <v>0</v>
      </c>
      <c r="L86">
        <f t="shared" si="8"/>
        <v>5860</v>
      </c>
      <c r="M86">
        <f t="shared" si="9"/>
        <v>0</v>
      </c>
      <c r="N86">
        <v>0</v>
      </c>
      <c r="O86">
        <v>0</v>
      </c>
      <c r="P86">
        <v>0</v>
      </c>
      <c r="Q86">
        <v>0</v>
      </c>
      <c r="S86">
        <v>0</v>
      </c>
      <c r="T86">
        <v>0</v>
      </c>
      <c r="U86">
        <v>0</v>
      </c>
      <c r="V86">
        <v>2400</v>
      </c>
      <c r="W86">
        <v>0</v>
      </c>
      <c r="X86">
        <v>0</v>
      </c>
      <c r="Y86">
        <v>0</v>
      </c>
      <c r="Z86" t="s">
        <v>107</v>
      </c>
      <c r="AA86" t="s">
        <v>108</v>
      </c>
      <c r="AB86" t="s">
        <v>76</v>
      </c>
      <c r="AC86">
        <v>2</v>
      </c>
      <c r="AD86">
        <v>14200</v>
      </c>
      <c r="AE86">
        <f t="shared" si="10"/>
        <v>28400</v>
      </c>
      <c r="AF86">
        <f t="shared" si="11"/>
        <v>-30800</v>
      </c>
    </row>
    <row r="87" spans="1:32" x14ac:dyDescent="0.2">
      <c r="A87" t="s">
        <v>390</v>
      </c>
      <c r="B87" t="s">
        <v>133</v>
      </c>
      <c r="C87" s="2" t="s">
        <v>392</v>
      </c>
      <c r="D87" t="s">
        <v>284</v>
      </c>
      <c r="E87" t="s">
        <v>285</v>
      </c>
      <c r="F87" t="s">
        <v>181</v>
      </c>
      <c r="G87" t="s">
        <v>227</v>
      </c>
      <c r="H87" t="s">
        <v>228</v>
      </c>
      <c r="I87">
        <v>0.3</v>
      </c>
      <c r="J87">
        <v>0</v>
      </c>
      <c r="K87">
        <v>25500</v>
      </c>
      <c r="L87">
        <f t="shared" si="8"/>
        <v>0</v>
      </c>
      <c r="M87">
        <f t="shared" si="9"/>
        <v>7650</v>
      </c>
      <c r="N87">
        <v>0</v>
      </c>
      <c r="O87">
        <v>0</v>
      </c>
      <c r="P87">
        <v>0</v>
      </c>
      <c r="Q87">
        <v>7650</v>
      </c>
      <c r="R87" s="1" t="s">
        <v>391</v>
      </c>
      <c r="S87">
        <v>0</v>
      </c>
      <c r="T87">
        <v>0</v>
      </c>
      <c r="U87">
        <v>0</v>
      </c>
      <c r="V87">
        <v>750</v>
      </c>
      <c r="W87">
        <v>18</v>
      </c>
      <c r="X87">
        <v>13</v>
      </c>
      <c r="Y87">
        <v>0</v>
      </c>
      <c r="Z87" t="s">
        <v>107</v>
      </c>
      <c r="AA87" t="s">
        <v>108</v>
      </c>
      <c r="AB87" t="s">
        <v>76</v>
      </c>
      <c r="AC87">
        <v>0.3</v>
      </c>
      <c r="AD87">
        <v>14333.33</v>
      </c>
      <c r="AE87">
        <f t="shared" si="10"/>
        <v>4299.9989999999998</v>
      </c>
      <c r="AF87">
        <f t="shared" si="11"/>
        <v>2569.0010000000002</v>
      </c>
    </row>
    <row r="88" spans="1:32" x14ac:dyDescent="0.2">
      <c r="A88" t="s">
        <v>393</v>
      </c>
      <c r="B88" t="s">
        <v>133</v>
      </c>
      <c r="C88" s="2" t="s">
        <v>395</v>
      </c>
      <c r="D88" t="s">
        <v>327</v>
      </c>
      <c r="E88" t="s">
        <v>328</v>
      </c>
      <c r="F88" t="s">
        <v>136</v>
      </c>
      <c r="G88" t="s">
        <v>182</v>
      </c>
      <c r="H88" t="s">
        <v>183</v>
      </c>
      <c r="I88">
        <v>0.5</v>
      </c>
      <c r="J88">
        <v>0</v>
      </c>
      <c r="K88">
        <v>18000</v>
      </c>
      <c r="L88">
        <f t="shared" si="8"/>
        <v>0</v>
      </c>
      <c r="M88">
        <f t="shared" si="9"/>
        <v>9000</v>
      </c>
      <c r="N88">
        <v>0</v>
      </c>
      <c r="O88">
        <v>0</v>
      </c>
      <c r="P88">
        <v>0</v>
      </c>
      <c r="Q88">
        <v>9000</v>
      </c>
      <c r="R88" s="1" t="s">
        <v>394</v>
      </c>
      <c r="S88">
        <v>0</v>
      </c>
      <c r="T88">
        <v>0</v>
      </c>
      <c r="U88">
        <v>0</v>
      </c>
      <c r="V88">
        <v>1200</v>
      </c>
      <c r="W88">
        <v>0</v>
      </c>
      <c r="X88">
        <v>23</v>
      </c>
      <c r="Y88">
        <v>0</v>
      </c>
      <c r="Z88" t="s">
        <v>107</v>
      </c>
      <c r="AA88" t="s">
        <v>108</v>
      </c>
      <c r="AB88" t="s">
        <v>76</v>
      </c>
      <c r="AC88">
        <v>0.5</v>
      </c>
      <c r="AD88">
        <v>13200</v>
      </c>
      <c r="AE88">
        <f t="shared" si="10"/>
        <v>6600</v>
      </c>
      <c r="AF88">
        <f t="shared" si="11"/>
        <v>1177</v>
      </c>
    </row>
    <row r="89" spans="1:32" x14ac:dyDescent="0.2">
      <c r="A89" t="s">
        <v>396</v>
      </c>
      <c r="B89" t="s">
        <v>33</v>
      </c>
      <c r="C89" s="2" t="s">
        <v>401</v>
      </c>
      <c r="D89" t="s">
        <v>397</v>
      </c>
      <c r="E89" t="s">
        <v>398</v>
      </c>
      <c r="F89" t="s">
        <v>399</v>
      </c>
      <c r="G89" t="s">
        <v>137</v>
      </c>
      <c r="H89" t="s">
        <v>138</v>
      </c>
      <c r="I89">
        <v>2.2000000000000002</v>
      </c>
      <c r="J89">
        <v>13500</v>
      </c>
      <c r="K89">
        <v>0</v>
      </c>
      <c r="L89">
        <f t="shared" si="8"/>
        <v>29700.000000000004</v>
      </c>
      <c r="M89">
        <f t="shared" si="9"/>
        <v>0</v>
      </c>
      <c r="N89">
        <v>29628</v>
      </c>
      <c r="O89">
        <v>72</v>
      </c>
      <c r="P89">
        <v>202569.60000000001</v>
      </c>
      <c r="Q89">
        <v>0</v>
      </c>
      <c r="R89" s="1" t="s">
        <v>400</v>
      </c>
      <c r="S89">
        <v>0</v>
      </c>
      <c r="T89">
        <v>1830.9</v>
      </c>
      <c r="U89">
        <v>0</v>
      </c>
      <c r="V89">
        <v>0</v>
      </c>
      <c r="W89">
        <v>18</v>
      </c>
      <c r="X89">
        <v>396</v>
      </c>
      <c r="Y89">
        <v>0</v>
      </c>
      <c r="Z89" t="s">
        <v>39</v>
      </c>
      <c r="AA89" t="s">
        <v>40</v>
      </c>
      <c r="AB89" t="s">
        <v>41</v>
      </c>
      <c r="AC89">
        <v>2.2000000000000002</v>
      </c>
      <c r="AD89">
        <v>85000</v>
      </c>
      <c r="AE89">
        <f t="shared" si="10"/>
        <v>187000.00000000003</v>
      </c>
      <c r="AF89">
        <f t="shared" si="11"/>
        <v>13324.699999999983</v>
      </c>
    </row>
    <row r="90" spans="1:32" x14ac:dyDescent="0.2">
      <c r="A90" t="s">
        <v>402</v>
      </c>
      <c r="B90" t="s">
        <v>33</v>
      </c>
      <c r="C90" s="2" t="s">
        <v>404</v>
      </c>
      <c r="D90" t="s">
        <v>161</v>
      </c>
      <c r="E90" t="s">
        <v>162</v>
      </c>
      <c r="F90" t="s">
        <v>163</v>
      </c>
      <c r="G90" t="s">
        <v>72</v>
      </c>
      <c r="H90" t="s">
        <v>73</v>
      </c>
      <c r="I90">
        <v>6</v>
      </c>
      <c r="J90">
        <v>1000</v>
      </c>
      <c r="K90">
        <v>0</v>
      </c>
      <c r="L90">
        <f t="shared" si="8"/>
        <v>6000</v>
      </c>
      <c r="M90">
        <f t="shared" si="9"/>
        <v>0</v>
      </c>
      <c r="N90">
        <v>5943</v>
      </c>
      <c r="O90">
        <v>57</v>
      </c>
      <c r="P90">
        <v>40541.360000000001</v>
      </c>
      <c r="Q90">
        <v>0</v>
      </c>
      <c r="R90" s="1" t="s">
        <v>403</v>
      </c>
      <c r="S90">
        <v>0</v>
      </c>
      <c r="T90">
        <v>3310</v>
      </c>
      <c r="U90">
        <v>99.95</v>
      </c>
      <c r="V90">
        <v>0</v>
      </c>
      <c r="W90">
        <v>0</v>
      </c>
      <c r="X90">
        <v>36</v>
      </c>
      <c r="Y90">
        <v>252</v>
      </c>
      <c r="Z90" t="s">
        <v>74</v>
      </c>
      <c r="AA90" t="s">
        <v>75</v>
      </c>
      <c r="AB90" t="s">
        <v>76</v>
      </c>
      <c r="AC90">
        <v>6</v>
      </c>
      <c r="AD90">
        <v>5650</v>
      </c>
      <c r="AE90">
        <f t="shared" si="10"/>
        <v>33900</v>
      </c>
      <c r="AF90">
        <f t="shared" si="11"/>
        <v>2943.4100000000035</v>
      </c>
    </row>
    <row r="91" spans="1:32" x14ac:dyDescent="0.2">
      <c r="A91" t="s">
        <v>405</v>
      </c>
      <c r="B91" t="s">
        <v>33</v>
      </c>
      <c r="C91" s="2" t="s">
        <v>404</v>
      </c>
      <c r="D91" t="s">
        <v>166</v>
      </c>
      <c r="E91" t="s">
        <v>167</v>
      </c>
      <c r="F91" t="s">
        <v>168</v>
      </c>
      <c r="G91" t="s">
        <v>84</v>
      </c>
      <c r="H91" t="s">
        <v>85</v>
      </c>
      <c r="I91">
        <v>23.8</v>
      </c>
      <c r="J91">
        <v>800</v>
      </c>
      <c r="K91">
        <v>0</v>
      </c>
      <c r="L91">
        <f t="shared" si="8"/>
        <v>19040</v>
      </c>
      <c r="M91">
        <f t="shared" si="9"/>
        <v>0</v>
      </c>
      <c r="N91">
        <v>19040</v>
      </c>
      <c r="O91">
        <v>0</v>
      </c>
      <c r="P91">
        <v>132697.38</v>
      </c>
      <c r="Q91">
        <v>0</v>
      </c>
      <c r="R91" s="1" t="s">
        <v>406</v>
      </c>
      <c r="S91">
        <v>0</v>
      </c>
      <c r="T91">
        <v>4008.4</v>
      </c>
      <c r="U91">
        <v>0</v>
      </c>
      <c r="V91">
        <v>0</v>
      </c>
      <c r="W91">
        <v>65</v>
      </c>
      <c r="X91">
        <v>225</v>
      </c>
      <c r="Y91">
        <v>0</v>
      </c>
      <c r="Z91" t="s">
        <v>74</v>
      </c>
      <c r="AA91" t="s">
        <v>75</v>
      </c>
      <c r="AB91" t="s">
        <v>76</v>
      </c>
      <c r="AC91">
        <v>23.8</v>
      </c>
      <c r="AD91">
        <v>4636.43</v>
      </c>
      <c r="AE91">
        <f t="shared" si="10"/>
        <v>110347.03400000001</v>
      </c>
      <c r="AF91">
        <f t="shared" si="11"/>
        <v>18051.945999999996</v>
      </c>
    </row>
    <row r="92" spans="1:32" x14ac:dyDescent="0.2">
      <c r="A92" t="s">
        <v>407</v>
      </c>
      <c r="B92" t="s">
        <v>33</v>
      </c>
      <c r="C92" s="2" t="s">
        <v>400</v>
      </c>
      <c r="D92" t="s">
        <v>119</v>
      </c>
      <c r="E92" t="s">
        <v>120</v>
      </c>
      <c r="F92" t="s">
        <v>121</v>
      </c>
      <c r="G92" t="s">
        <v>90</v>
      </c>
      <c r="H92" t="s">
        <v>91</v>
      </c>
      <c r="I92">
        <v>2.4</v>
      </c>
      <c r="J92">
        <v>2040</v>
      </c>
      <c r="K92">
        <v>0</v>
      </c>
      <c r="L92">
        <f t="shared" si="8"/>
        <v>4896</v>
      </c>
      <c r="M92">
        <f t="shared" si="9"/>
        <v>0</v>
      </c>
      <c r="N92">
        <v>9090</v>
      </c>
      <c r="O92">
        <v>30</v>
      </c>
      <c r="P92">
        <v>62975.519999999997</v>
      </c>
      <c r="Q92">
        <v>0</v>
      </c>
      <c r="R92" s="1" t="s">
        <v>408</v>
      </c>
      <c r="S92">
        <v>1337.8</v>
      </c>
      <c r="T92">
        <v>2607</v>
      </c>
      <c r="U92">
        <v>70.06</v>
      </c>
      <c r="V92">
        <v>0</v>
      </c>
      <c r="W92">
        <v>18</v>
      </c>
      <c r="X92">
        <v>201</v>
      </c>
      <c r="Y92">
        <v>0</v>
      </c>
      <c r="Z92" t="s">
        <v>92</v>
      </c>
      <c r="AA92" t="s">
        <v>93</v>
      </c>
      <c r="AB92" t="s">
        <v>94</v>
      </c>
      <c r="AC92">
        <v>2.4</v>
      </c>
      <c r="AD92">
        <v>11760</v>
      </c>
      <c r="AE92">
        <f t="shared" si="10"/>
        <v>28224</v>
      </c>
      <c r="AF92">
        <f t="shared" si="11"/>
        <v>30517.659999999996</v>
      </c>
    </row>
    <row r="93" spans="1:32" x14ac:dyDescent="0.2">
      <c r="A93" t="s">
        <v>407</v>
      </c>
      <c r="B93" t="s">
        <v>33</v>
      </c>
      <c r="D93" t="s">
        <v>119</v>
      </c>
      <c r="E93" t="s">
        <v>120</v>
      </c>
      <c r="F93" t="s">
        <v>121</v>
      </c>
      <c r="G93" t="s">
        <v>47</v>
      </c>
      <c r="H93" t="s">
        <v>48</v>
      </c>
      <c r="I93">
        <v>4.8</v>
      </c>
      <c r="J93">
        <v>880</v>
      </c>
      <c r="K93">
        <v>0</v>
      </c>
      <c r="L93">
        <f t="shared" si="8"/>
        <v>4224</v>
      </c>
      <c r="M93">
        <f t="shared" si="9"/>
        <v>0</v>
      </c>
      <c r="N93">
        <v>0</v>
      </c>
      <c r="O93">
        <v>0</v>
      </c>
      <c r="P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36</v>
      </c>
      <c r="X93">
        <v>249</v>
      </c>
      <c r="Y93">
        <v>0</v>
      </c>
      <c r="Z93" t="s">
        <v>74</v>
      </c>
      <c r="AA93" t="s">
        <v>75</v>
      </c>
      <c r="AB93" t="s">
        <v>76</v>
      </c>
      <c r="AC93">
        <v>4.8</v>
      </c>
      <c r="AD93">
        <v>5000</v>
      </c>
      <c r="AE93">
        <f t="shared" si="10"/>
        <v>24000</v>
      </c>
      <c r="AF93">
        <f t="shared" si="11"/>
        <v>-24285</v>
      </c>
    </row>
    <row r="94" spans="1:32" x14ac:dyDescent="0.2">
      <c r="A94" t="s">
        <v>409</v>
      </c>
      <c r="B94" t="s">
        <v>33</v>
      </c>
      <c r="C94" s="2" t="s">
        <v>394</v>
      </c>
      <c r="D94" t="s">
        <v>198</v>
      </c>
      <c r="E94" t="s">
        <v>199</v>
      </c>
      <c r="F94" t="s">
        <v>158</v>
      </c>
      <c r="G94" t="s">
        <v>37</v>
      </c>
      <c r="H94" t="s">
        <v>38</v>
      </c>
      <c r="I94">
        <v>1</v>
      </c>
      <c r="J94">
        <v>2250</v>
      </c>
      <c r="K94">
        <v>0</v>
      </c>
      <c r="L94">
        <f t="shared" si="8"/>
        <v>2250</v>
      </c>
      <c r="M94">
        <f t="shared" si="9"/>
        <v>0</v>
      </c>
      <c r="N94">
        <v>2206</v>
      </c>
      <c r="O94">
        <v>44</v>
      </c>
      <c r="P94">
        <v>15296.18</v>
      </c>
      <c r="Q94">
        <v>0</v>
      </c>
      <c r="R94" s="1" t="s">
        <v>410</v>
      </c>
      <c r="S94">
        <v>-253.8</v>
      </c>
      <c r="T94">
        <v>0</v>
      </c>
      <c r="U94">
        <v>100.09</v>
      </c>
      <c r="V94">
        <v>0</v>
      </c>
      <c r="W94">
        <v>18</v>
      </c>
      <c r="X94">
        <v>162</v>
      </c>
      <c r="Y94">
        <v>0</v>
      </c>
      <c r="Z94" t="s">
        <v>92</v>
      </c>
      <c r="AA94" t="s">
        <v>93</v>
      </c>
      <c r="AB94" t="s">
        <v>94</v>
      </c>
      <c r="AC94">
        <v>1</v>
      </c>
      <c r="AD94">
        <v>13000</v>
      </c>
      <c r="AE94">
        <f t="shared" si="10"/>
        <v>13000</v>
      </c>
      <c r="AF94">
        <f t="shared" si="11"/>
        <v>2269.8899999999994</v>
      </c>
    </row>
    <row r="95" spans="1:32" x14ac:dyDescent="0.2">
      <c r="A95" t="s">
        <v>411</v>
      </c>
      <c r="B95" t="s">
        <v>133</v>
      </c>
      <c r="C95" s="2" t="s">
        <v>413</v>
      </c>
      <c r="D95" t="s">
        <v>260</v>
      </c>
      <c r="E95" t="s">
        <v>261</v>
      </c>
      <c r="F95" t="s">
        <v>262</v>
      </c>
      <c r="G95" t="s">
        <v>234</v>
      </c>
      <c r="H95" t="s">
        <v>228</v>
      </c>
      <c r="I95">
        <v>0.3</v>
      </c>
      <c r="J95">
        <v>0</v>
      </c>
      <c r="K95">
        <v>11000</v>
      </c>
      <c r="L95">
        <f t="shared" si="8"/>
        <v>0</v>
      </c>
      <c r="M95">
        <f t="shared" si="9"/>
        <v>3300</v>
      </c>
      <c r="N95">
        <v>0</v>
      </c>
      <c r="O95">
        <v>0</v>
      </c>
      <c r="P95">
        <v>0</v>
      </c>
      <c r="Q95">
        <v>3300</v>
      </c>
      <c r="R95" s="1" t="s">
        <v>412</v>
      </c>
      <c r="S95">
        <v>0</v>
      </c>
      <c r="T95">
        <v>0</v>
      </c>
      <c r="U95">
        <v>0</v>
      </c>
      <c r="V95">
        <v>0</v>
      </c>
      <c r="W95">
        <v>0</v>
      </c>
      <c r="X95">
        <v>19</v>
      </c>
      <c r="Y95">
        <v>0</v>
      </c>
      <c r="Z95" t="s">
        <v>92</v>
      </c>
      <c r="AA95" t="s">
        <v>93</v>
      </c>
      <c r="AB95" t="s">
        <v>94</v>
      </c>
      <c r="AC95">
        <v>0.3</v>
      </c>
      <c r="AD95">
        <v>9500</v>
      </c>
      <c r="AE95">
        <f t="shared" si="10"/>
        <v>2850</v>
      </c>
      <c r="AF95">
        <f t="shared" si="11"/>
        <v>431</v>
      </c>
    </row>
    <row r="96" spans="1:32" x14ac:dyDescent="0.2">
      <c r="A96" t="s">
        <v>414</v>
      </c>
      <c r="B96" t="s">
        <v>133</v>
      </c>
      <c r="C96" s="2" t="s">
        <v>413</v>
      </c>
      <c r="D96" t="s">
        <v>415</v>
      </c>
      <c r="E96" t="s">
        <v>416</v>
      </c>
      <c r="F96" t="s">
        <v>417</v>
      </c>
      <c r="G96" t="s">
        <v>141</v>
      </c>
      <c r="H96" t="s">
        <v>91</v>
      </c>
      <c r="I96">
        <v>13</v>
      </c>
      <c r="J96">
        <v>0</v>
      </c>
      <c r="K96">
        <v>12000</v>
      </c>
      <c r="L96">
        <f t="shared" si="8"/>
        <v>0</v>
      </c>
      <c r="M96">
        <f t="shared" si="9"/>
        <v>156000</v>
      </c>
      <c r="N96">
        <v>0</v>
      </c>
      <c r="O96">
        <v>0</v>
      </c>
      <c r="P96">
        <v>0</v>
      </c>
      <c r="Q96">
        <v>156000</v>
      </c>
      <c r="R96" s="1" t="s">
        <v>418</v>
      </c>
      <c r="S96">
        <v>0</v>
      </c>
      <c r="T96">
        <v>0</v>
      </c>
      <c r="U96">
        <v>0</v>
      </c>
      <c r="V96">
        <v>0</v>
      </c>
      <c r="W96">
        <v>1000</v>
      </c>
      <c r="X96">
        <v>18</v>
      </c>
      <c r="Y96">
        <v>0</v>
      </c>
      <c r="Z96" t="s">
        <v>39</v>
      </c>
      <c r="AA96" t="s">
        <v>40</v>
      </c>
      <c r="AB96" t="s">
        <v>41</v>
      </c>
      <c r="AC96">
        <v>13</v>
      </c>
      <c r="AD96">
        <v>11050</v>
      </c>
      <c r="AE96">
        <f t="shared" si="10"/>
        <v>143650</v>
      </c>
      <c r="AF96">
        <f t="shared" si="11"/>
        <v>11332</v>
      </c>
    </row>
    <row r="97" spans="1:32" x14ac:dyDescent="0.2">
      <c r="A97" t="s">
        <v>419</v>
      </c>
      <c r="B97" t="s">
        <v>33</v>
      </c>
      <c r="C97" s="2" t="s">
        <v>423</v>
      </c>
      <c r="D97" t="s">
        <v>80</v>
      </c>
      <c r="E97" t="s">
        <v>81</v>
      </c>
      <c r="F97" t="s">
        <v>82</v>
      </c>
      <c r="G97" t="s">
        <v>72</v>
      </c>
      <c r="H97" t="s">
        <v>73</v>
      </c>
      <c r="I97">
        <v>19.8</v>
      </c>
      <c r="J97">
        <v>770</v>
      </c>
      <c r="K97">
        <v>0</v>
      </c>
      <c r="L97">
        <f t="shared" si="8"/>
        <v>15246</v>
      </c>
      <c r="M97">
        <f t="shared" si="9"/>
        <v>0</v>
      </c>
      <c r="N97">
        <v>15219.6</v>
      </c>
      <c r="O97">
        <v>26.4</v>
      </c>
      <c r="P97">
        <v>99971.46</v>
      </c>
      <c r="Q97">
        <v>0</v>
      </c>
      <c r="R97" s="1" t="s">
        <v>422</v>
      </c>
      <c r="S97">
        <v>0</v>
      </c>
      <c r="T97">
        <v>4304.6000000000004</v>
      </c>
      <c r="U97">
        <v>117.14</v>
      </c>
      <c r="V97">
        <v>5500</v>
      </c>
      <c r="W97">
        <v>0</v>
      </c>
      <c r="X97">
        <v>13</v>
      </c>
      <c r="Y97">
        <v>0</v>
      </c>
      <c r="Z97" t="s">
        <v>420</v>
      </c>
      <c r="AA97" t="s">
        <v>421</v>
      </c>
      <c r="AB97" t="s">
        <v>51</v>
      </c>
      <c r="AC97">
        <v>19.8</v>
      </c>
      <c r="AD97">
        <v>4200</v>
      </c>
      <c r="AE97">
        <f t="shared" si="10"/>
        <v>83160</v>
      </c>
      <c r="AF97">
        <f t="shared" si="11"/>
        <v>6876.7200000000012</v>
      </c>
    </row>
    <row r="98" spans="1:32" x14ac:dyDescent="0.2">
      <c r="A98" t="s">
        <v>424</v>
      </c>
      <c r="B98" t="s">
        <v>33</v>
      </c>
      <c r="C98" s="2" t="s">
        <v>426</v>
      </c>
      <c r="D98" t="s">
        <v>231</v>
      </c>
      <c r="E98" t="s">
        <v>232</v>
      </c>
      <c r="F98" t="s">
        <v>233</v>
      </c>
      <c r="G98" t="s">
        <v>234</v>
      </c>
      <c r="H98" t="s">
        <v>228</v>
      </c>
      <c r="I98">
        <v>8</v>
      </c>
      <c r="J98">
        <v>2430</v>
      </c>
      <c r="K98">
        <v>0</v>
      </c>
      <c r="L98">
        <f t="shared" ref="L98:L129" si="12">I98*J98</f>
        <v>19440</v>
      </c>
      <c r="M98">
        <f t="shared" ref="M98:M129" si="13">I98*K98</f>
        <v>0</v>
      </c>
      <c r="N98">
        <v>19410</v>
      </c>
      <c r="O98">
        <v>30</v>
      </c>
      <c r="P98">
        <v>132137.46</v>
      </c>
      <c r="Q98">
        <v>0</v>
      </c>
      <c r="R98" s="1" t="s">
        <v>425</v>
      </c>
      <c r="S98">
        <v>2571.8000000000002</v>
      </c>
      <c r="T98">
        <v>2255</v>
      </c>
      <c r="U98">
        <v>146.68</v>
      </c>
      <c r="V98">
        <v>0</v>
      </c>
      <c r="W98">
        <v>2600</v>
      </c>
      <c r="X98">
        <v>144</v>
      </c>
      <c r="Y98">
        <v>0</v>
      </c>
      <c r="Z98" t="s">
        <v>92</v>
      </c>
      <c r="AA98" t="s">
        <v>93</v>
      </c>
      <c r="AB98" t="s">
        <v>94</v>
      </c>
      <c r="AC98">
        <v>8</v>
      </c>
      <c r="AD98">
        <v>9400</v>
      </c>
      <c r="AE98">
        <f t="shared" ref="AE98:AE129" si="14">AC98*AD98</f>
        <v>75200</v>
      </c>
      <c r="AF98">
        <f t="shared" ref="AF98:AF129" si="15">P98+Q98-S98-T98-U98-V98-W98-X98-Y98-AE98</f>
        <v>49219.979999999996</v>
      </c>
    </row>
    <row r="99" spans="1:32" x14ac:dyDescent="0.2">
      <c r="A99" t="s">
        <v>427</v>
      </c>
      <c r="B99" t="s">
        <v>33</v>
      </c>
      <c r="C99" s="2" t="s">
        <v>432</v>
      </c>
      <c r="D99" t="s">
        <v>428</v>
      </c>
      <c r="E99" t="s">
        <v>429</v>
      </c>
      <c r="F99" t="s">
        <v>430</v>
      </c>
      <c r="G99" t="s">
        <v>54</v>
      </c>
      <c r="H99" t="s">
        <v>55</v>
      </c>
      <c r="I99">
        <v>2</v>
      </c>
      <c r="J99">
        <v>1650</v>
      </c>
      <c r="K99">
        <v>0</v>
      </c>
      <c r="L99">
        <f t="shared" si="12"/>
        <v>3300</v>
      </c>
      <c r="M99">
        <f t="shared" si="13"/>
        <v>0</v>
      </c>
      <c r="N99">
        <v>3230.23</v>
      </c>
      <c r="O99">
        <v>482.11</v>
      </c>
      <c r="P99">
        <v>22320.89</v>
      </c>
      <c r="Q99">
        <v>0</v>
      </c>
      <c r="R99" s="1" t="s">
        <v>431</v>
      </c>
      <c r="S99">
        <v>0</v>
      </c>
      <c r="T99">
        <v>1345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128</v>
      </c>
      <c r="AA99" t="s">
        <v>129</v>
      </c>
      <c r="AB99" t="s">
        <v>130</v>
      </c>
      <c r="AC99">
        <v>2</v>
      </c>
      <c r="AD99">
        <v>8100</v>
      </c>
      <c r="AE99">
        <f t="shared" si="14"/>
        <v>16200</v>
      </c>
      <c r="AF99">
        <f t="shared" si="15"/>
        <v>4775.8899999999994</v>
      </c>
    </row>
    <row r="100" spans="1:32" x14ac:dyDescent="0.2">
      <c r="A100" t="s">
        <v>433</v>
      </c>
      <c r="B100" t="s">
        <v>33</v>
      </c>
      <c r="C100" s="2" t="s">
        <v>435</v>
      </c>
      <c r="D100" t="s">
        <v>166</v>
      </c>
      <c r="E100" t="s">
        <v>167</v>
      </c>
      <c r="F100" t="s">
        <v>168</v>
      </c>
      <c r="G100" t="s">
        <v>84</v>
      </c>
      <c r="H100" t="s">
        <v>85</v>
      </c>
      <c r="I100">
        <v>49</v>
      </c>
      <c r="J100">
        <v>790</v>
      </c>
      <c r="K100">
        <v>0</v>
      </c>
      <c r="L100">
        <f t="shared" si="12"/>
        <v>38710</v>
      </c>
      <c r="M100">
        <f t="shared" si="13"/>
        <v>0</v>
      </c>
      <c r="N100">
        <v>39816</v>
      </c>
      <c r="O100">
        <v>0</v>
      </c>
      <c r="P100">
        <v>273619.53000000003</v>
      </c>
      <c r="Q100">
        <v>0</v>
      </c>
      <c r="R100" s="1" t="s">
        <v>434</v>
      </c>
      <c r="S100">
        <v>0</v>
      </c>
      <c r="T100">
        <v>6797</v>
      </c>
      <c r="U100">
        <v>0</v>
      </c>
      <c r="V100">
        <v>0</v>
      </c>
      <c r="W100">
        <v>365</v>
      </c>
      <c r="X100">
        <v>225</v>
      </c>
      <c r="Y100">
        <v>0</v>
      </c>
      <c r="Z100" t="s">
        <v>74</v>
      </c>
      <c r="AA100" t="s">
        <v>75</v>
      </c>
      <c r="AB100" t="s">
        <v>76</v>
      </c>
      <c r="AC100">
        <v>49</v>
      </c>
      <c r="AD100">
        <v>5000</v>
      </c>
      <c r="AE100">
        <f t="shared" si="14"/>
        <v>245000</v>
      </c>
      <c r="AF100">
        <f t="shared" si="15"/>
        <v>21232.530000000028</v>
      </c>
    </row>
    <row r="101" spans="1:32" x14ac:dyDescent="0.2">
      <c r="A101" t="s">
        <v>436</v>
      </c>
      <c r="B101" t="s">
        <v>33</v>
      </c>
      <c r="C101" s="2" t="s">
        <v>441</v>
      </c>
      <c r="D101" t="s">
        <v>437</v>
      </c>
      <c r="E101" t="s">
        <v>438</v>
      </c>
      <c r="F101" t="s">
        <v>439</v>
      </c>
      <c r="G101" t="s">
        <v>143</v>
      </c>
      <c r="H101" t="s">
        <v>48</v>
      </c>
      <c r="I101">
        <v>4</v>
      </c>
      <c r="J101">
        <v>1450</v>
      </c>
      <c r="K101">
        <v>0</v>
      </c>
      <c r="L101">
        <f t="shared" si="12"/>
        <v>5800</v>
      </c>
      <c r="M101">
        <f t="shared" si="13"/>
        <v>0</v>
      </c>
      <c r="N101">
        <v>5736</v>
      </c>
      <c r="O101">
        <v>64</v>
      </c>
      <c r="P101">
        <v>39160.25</v>
      </c>
      <c r="Q101">
        <v>0</v>
      </c>
      <c r="R101" s="1" t="s">
        <v>440</v>
      </c>
      <c r="S101">
        <v>0</v>
      </c>
      <c r="T101">
        <v>1460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128</v>
      </c>
      <c r="AA101" t="s">
        <v>129</v>
      </c>
      <c r="AB101" t="s">
        <v>130</v>
      </c>
      <c r="AC101">
        <v>4</v>
      </c>
      <c r="AD101">
        <v>7000</v>
      </c>
      <c r="AE101">
        <f t="shared" si="14"/>
        <v>28000</v>
      </c>
      <c r="AF101">
        <f t="shared" si="15"/>
        <v>9700.25</v>
      </c>
    </row>
    <row r="102" spans="1:32" x14ac:dyDescent="0.2">
      <c r="A102" t="s">
        <v>442</v>
      </c>
      <c r="B102" t="s">
        <v>33</v>
      </c>
      <c r="C102" s="2" t="s">
        <v>444</v>
      </c>
      <c r="D102" t="s">
        <v>69</v>
      </c>
      <c r="E102" t="s">
        <v>70</v>
      </c>
      <c r="F102" t="s">
        <v>71</v>
      </c>
      <c r="G102" t="s">
        <v>72</v>
      </c>
      <c r="H102" t="s">
        <v>73</v>
      </c>
      <c r="I102">
        <v>19.8</v>
      </c>
      <c r="J102">
        <v>880</v>
      </c>
      <c r="K102">
        <v>0</v>
      </c>
      <c r="L102">
        <f t="shared" si="12"/>
        <v>17424</v>
      </c>
      <c r="M102">
        <f t="shared" si="13"/>
        <v>0</v>
      </c>
      <c r="N102">
        <v>17406</v>
      </c>
      <c r="O102">
        <v>18</v>
      </c>
      <c r="P102">
        <v>112674.26</v>
      </c>
      <c r="Q102">
        <v>0</v>
      </c>
      <c r="R102" s="1" t="s">
        <v>443</v>
      </c>
      <c r="S102">
        <v>0</v>
      </c>
      <c r="T102">
        <v>3200</v>
      </c>
      <c r="U102">
        <v>0</v>
      </c>
      <c r="V102">
        <v>0</v>
      </c>
      <c r="W102">
        <v>2563.4299999999998</v>
      </c>
      <c r="X102">
        <v>15</v>
      </c>
      <c r="Y102">
        <v>0</v>
      </c>
      <c r="Z102" t="s">
        <v>74</v>
      </c>
      <c r="AA102" t="s">
        <v>75</v>
      </c>
      <c r="AB102" t="s">
        <v>76</v>
      </c>
      <c r="AC102">
        <v>19.8</v>
      </c>
      <c r="AD102">
        <v>5500</v>
      </c>
      <c r="AE102">
        <f t="shared" si="14"/>
        <v>108900</v>
      </c>
      <c r="AF102">
        <f t="shared" si="15"/>
        <v>-2004.1699999999983</v>
      </c>
    </row>
    <row r="103" spans="1:32" x14ac:dyDescent="0.2">
      <c r="A103" t="s">
        <v>445</v>
      </c>
      <c r="B103" t="s">
        <v>33</v>
      </c>
      <c r="C103" s="2" t="s">
        <v>444</v>
      </c>
      <c r="D103" t="s">
        <v>231</v>
      </c>
      <c r="E103" t="s">
        <v>232</v>
      </c>
      <c r="F103" t="s">
        <v>233</v>
      </c>
      <c r="G103" t="s">
        <v>234</v>
      </c>
      <c r="H103" t="s">
        <v>228</v>
      </c>
      <c r="I103">
        <v>8</v>
      </c>
      <c r="J103">
        <v>2430</v>
      </c>
      <c r="K103">
        <v>0</v>
      </c>
      <c r="L103">
        <f t="shared" si="12"/>
        <v>19440</v>
      </c>
      <c r="M103">
        <f t="shared" si="13"/>
        <v>0</v>
      </c>
      <c r="N103">
        <v>19410</v>
      </c>
      <c r="O103">
        <v>30</v>
      </c>
      <c r="P103">
        <v>126508.56</v>
      </c>
      <c r="Q103">
        <v>0</v>
      </c>
      <c r="R103" s="1" t="s">
        <v>446</v>
      </c>
      <c r="S103">
        <v>6270</v>
      </c>
      <c r="T103">
        <v>2255</v>
      </c>
      <c r="U103">
        <v>0</v>
      </c>
      <c r="V103">
        <v>0</v>
      </c>
      <c r="W103">
        <v>0</v>
      </c>
      <c r="X103">
        <v>144</v>
      </c>
      <c r="Y103">
        <v>0</v>
      </c>
      <c r="Z103" t="s">
        <v>92</v>
      </c>
      <c r="AA103" t="s">
        <v>93</v>
      </c>
      <c r="AB103" t="s">
        <v>94</v>
      </c>
      <c r="AC103">
        <v>8</v>
      </c>
      <c r="AD103">
        <v>9400</v>
      </c>
      <c r="AE103">
        <f t="shared" si="14"/>
        <v>75200</v>
      </c>
      <c r="AF103">
        <f t="shared" si="15"/>
        <v>42639.56</v>
      </c>
    </row>
    <row r="104" spans="1:32" x14ac:dyDescent="0.2">
      <c r="A104" t="s">
        <v>447</v>
      </c>
      <c r="B104" t="s">
        <v>33</v>
      </c>
      <c r="C104" s="2" t="s">
        <v>431</v>
      </c>
      <c r="D104" t="s">
        <v>448</v>
      </c>
      <c r="E104" t="s">
        <v>449</v>
      </c>
      <c r="F104" t="s">
        <v>450</v>
      </c>
      <c r="G104" t="s">
        <v>234</v>
      </c>
      <c r="H104" t="s">
        <v>228</v>
      </c>
      <c r="I104">
        <v>2.4</v>
      </c>
      <c r="J104">
        <v>2275</v>
      </c>
      <c r="K104">
        <v>0</v>
      </c>
      <c r="L104">
        <f t="shared" si="12"/>
        <v>5460</v>
      </c>
      <c r="M104">
        <f t="shared" si="13"/>
        <v>0</v>
      </c>
      <c r="N104">
        <v>9349</v>
      </c>
      <c r="O104">
        <v>35</v>
      </c>
      <c r="P104">
        <v>60938.65</v>
      </c>
      <c r="Q104">
        <v>0</v>
      </c>
      <c r="R104" s="1" t="s">
        <v>451</v>
      </c>
      <c r="S104">
        <v>-9133</v>
      </c>
      <c r="T104">
        <v>0</v>
      </c>
      <c r="U104">
        <v>100.04</v>
      </c>
      <c r="V104">
        <v>0</v>
      </c>
      <c r="W104">
        <v>0</v>
      </c>
      <c r="X104">
        <v>224</v>
      </c>
      <c r="Y104">
        <v>0</v>
      </c>
      <c r="Z104" t="s">
        <v>92</v>
      </c>
      <c r="AA104" t="s">
        <v>93</v>
      </c>
      <c r="AB104" t="s">
        <v>94</v>
      </c>
      <c r="AC104">
        <v>2.4</v>
      </c>
      <c r="AD104">
        <v>12000</v>
      </c>
      <c r="AE104">
        <f t="shared" si="14"/>
        <v>28800</v>
      </c>
      <c r="AF104">
        <f t="shared" si="15"/>
        <v>40947.61</v>
      </c>
    </row>
    <row r="105" spans="1:32" x14ac:dyDescent="0.2">
      <c r="A105" t="s">
        <v>452</v>
      </c>
      <c r="B105" t="s">
        <v>33</v>
      </c>
      <c r="C105" s="2" t="s">
        <v>457</v>
      </c>
      <c r="D105" t="s">
        <v>44</v>
      </c>
      <c r="E105" t="s">
        <v>45</v>
      </c>
      <c r="F105" t="s">
        <v>46</v>
      </c>
      <c r="G105" t="s">
        <v>54</v>
      </c>
      <c r="H105" t="s">
        <v>55</v>
      </c>
      <c r="I105">
        <v>14</v>
      </c>
      <c r="J105">
        <v>1620</v>
      </c>
      <c r="K105">
        <v>0</v>
      </c>
      <c r="L105">
        <f t="shared" si="12"/>
        <v>22680</v>
      </c>
      <c r="M105">
        <f t="shared" si="13"/>
        <v>0</v>
      </c>
      <c r="N105">
        <v>22605</v>
      </c>
      <c r="O105">
        <v>75</v>
      </c>
      <c r="P105">
        <v>148268.45550000001</v>
      </c>
      <c r="Q105">
        <v>0</v>
      </c>
      <c r="R105" s="1" t="s">
        <v>456</v>
      </c>
      <c r="S105">
        <v>0</v>
      </c>
      <c r="T105">
        <v>4976</v>
      </c>
      <c r="U105">
        <v>0</v>
      </c>
      <c r="V105">
        <v>8031.58</v>
      </c>
      <c r="W105">
        <v>31500</v>
      </c>
      <c r="X105">
        <v>224</v>
      </c>
      <c r="Y105">
        <v>0</v>
      </c>
      <c r="Z105" t="s">
        <v>453</v>
      </c>
      <c r="AA105" t="s">
        <v>454</v>
      </c>
      <c r="AB105" t="s">
        <v>455</v>
      </c>
      <c r="AC105">
        <v>14</v>
      </c>
      <c r="AD105">
        <v>5000</v>
      </c>
      <c r="AE105">
        <f t="shared" si="14"/>
        <v>70000</v>
      </c>
      <c r="AF105">
        <f t="shared" si="15"/>
        <v>33536.875500000024</v>
      </c>
    </row>
    <row r="106" spans="1:32" x14ac:dyDescent="0.2">
      <c r="A106" t="s">
        <v>458</v>
      </c>
      <c r="B106" t="s">
        <v>33</v>
      </c>
      <c r="C106" s="2" t="s">
        <v>440</v>
      </c>
      <c r="D106" t="s">
        <v>459</v>
      </c>
      <c r="E106" t="s">
        <v>460</v>
      </c>
      <c r="F106" t="s">
        <v>350</v>
      </c>
      <c r="G106" t="s">
        <v>72</v>
      </c>
      <c r="H106" t="s">
        <v>73</v>
      </c>
      <c r="I106">
        <v>8</v>
      </c>
      <c r="J106">
        <v>1150</v>
      </c>
      <c r="K106">
        <v>0</v>
      </c>
      <c r="L106">
        <f t="shared" si="12"/>
        <v>9200</v>
      </c>
      <c r="M106">
        <f t="shared" si="13"/>
        <v>0</v>
      </c>
      <c r="N106">
        <v>8935</v>
      </c>
      <c r="O106">
        <v>265</v>
      </c>
      <c r="P106">
        <v>58587.69</v>
      </c>
      <c r="Q106">
        <v>0</v>
      </c>
      <c r="R106" s="1" t="s">
        <v>461</v>
      </c>
      <c r="S106">
        <v>1702.53</v>
      </c>
      <c r="T106">
        <v>3916</v>
      </c>
      <c r="U106">
        <v>69.430000000000007</v>
      </c>
      <c r="V106">
        <v>0</v>
      </c>
      <c r="W106">
        <v>65</v>
      </c>
      <c r="X106">
        <v>144</v>
      </c>
      <c r="Y106">
        <v>508</v>
      </c>
      <c r="Z106" t="s">
        <v>128</v>
      </c>
      <c r="AA106" t="s">
        <v>129</v>
      </c>
      <c r="AB106" t="s">
        <v>130</v>
      </c>
      <c r="AC106">
        <v>8</v>
      </c>
      <c r="AD106">
        <v>6500</v>
      </c>
      <c r="AE106">
        <f t="shared" si="14"/>
        <v>52000</v>
      </c>
      <c r="AF106">
        <f t="shared" si="15"/>
        <v>182.7300000000032</v>
      </c>
    </row>
    <row r="107" spans="1:32" x14ac:dyDescent="0.2">
      <c r="A107" t="s">
        <v>462</v>
      </c>
      <c r="B107" t="s">
        <v>33</v>
      </c>
      <c r="C107" s="2" t="s">
        <v>467</v>
      </c>
      <c r="D107" t="s">
        <v>463</v>
      </c>
      <c r="E107" t="s">
        <v>464</v>
      </c>
      <c r="F107" t="s">
        <v>465</v>
      </c>
      <c r="G107" t="s">
        <v>137</v>
      </c>
      <c r="H107" t="s">
        <v>138</v>
      </c>
      <c r="I107">
        <v>0.08</v>
      </c>
      <c r="J107">
        <v>24014</v>
      </c>
      <c r="K107">
        <v>0</v>
      </c>
      <c r="L107">
        <f t="shared" si="12"/>
        <v>1921.1200000000001</v>
      </c>
      <c r="M107">
        <f t="shared" si="13"/>
        <v>0</v>
      </c>
      <c r="N107">
        <v>2353.37</v>
      </c>
      <c r="O107">
        <v>48.03</v>
      </c>
      <c r="P107">
        <v>16074.93</v>
      </c>
      <c r="Q107">
        <v>0</v>
      </c>
      <c r="R107" s="1" t="s">
        <v>466</v>
      </c>
      <c r="S107">
        <v>0</v>
      </c>
      <c r="T107">
        <v>7132</v>
      </c>
      <c r="U107">
        <v>0</v>
      </c>
      <c r="V107">
        <v>0</v>
      </c>
      <c r="W107">
        <v>0</v>
      </c>
      <c r="X107">
        <v>429</v>
      </c>
      <c r="Y107">
        <v>0</v>
      </c>
      <c r="Z107" t="s">
        <v>39</v>
      </c>
      <c r="AA107" t="s">
        <v>40</v>
      </c>
      <c r="AB107" t="s">
        <v>41</v>
      </c>
      <c r="AC107">
        <v>0.08</v>
      </c>
      <c r="AD107">
        <v>85000</v>
      </c>
      <c r="AE107">
        <f t="shared" si="14"/>
        <v>6800</v>
      </c>
      <c r="AF107">
        <f t="shared" si="15"/>
        <v>1713.9300000000003</v>
      </c>
    </row>
    <row r="108" spans="1:32" x14ac:dyDescent="0.2">
      <c r="A108" t="s">
        <v>462</v>
      </c>
      <c r="B108" t="s">
        <v>33</v>
      </c>
      <c r="D108" t="s">
        <v>463</v>
      </c>
      <c r="E108" t="s">
        <v>464</v>
      </c>
      <c r="F108" t="s">
        <v>465</v>
      </c>
      <c r="G108" t="s">
        <v>37</v>
      </c>
      <c r="H108" t="s">
        <v>38</v>
      </c>
      <c r="I108">
        <v>0.02</v>
      </c>
      <c r="J108">
        <v>24014</v>
      </c>
      <c r="K108">
        <v>0</v>
      </c>
      <c r="L108">
        <f t="shared" si="12"/>
        <v>480.28000000000003</v>
      </c>
      <c r="M108">
        <f t="shared" si="13"/>
        <v>0</v>
      </c>
      <c r="N108">
        <v>0</v>
      </c>
      <c r="O108">
        <v>0</v>
      </c>
      <c r="P108">
        <v>0</v>
      </c>
      <c r="Q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18</v>
      </c>
      <c r="Y108">
        <v>0</v>
      </c>
      <c r="Z108" t="s">
        <v>39</v>
      </c>
      <c r="AA108" t="s">
        <v>40</v>
      </c>
      <c r="AB108" t="s">
        <v>41</v>
      </c>
      <c r="AC108">
        <v>0.02</v>
      </c>
      <c r="AD108">
        <v>14000</v>
      </c>
      <c r="AE108">
        <f t="shared" si="14"/>
        <v>280</v>
      </c>
      <c r="AF108">
        <f t="shared" si="15"/>
        <v>-298</v>
      </c>
    </row>
    <row r="109" spans="1:32" x14ac:dyDescent="0.2">
      <c r="A109" t="s">
        <v>468</v>
      </c>
      <c r="B109" t="s">
        <v>33</v>
      </c>
      <c r="C109" s="2" t="s">
        <v>473</v>
      </c>
      <c r="D109" t="s">
        <v>469</v>
      </c>
      <c r="E109" t="s">
        <v>470</v>
      </c>
      <c r="F109" t="s">
        <v>471</v>
      </c>
      <c r="G109" t="s">
        <v>143</v>
      </c>
      <c r="H109" t="s">
        <v>48</v>
      </c>
      <c r="I109">
        <v>10.92</v>
      </c>
      <c r="J109">
        <v>1030</v>
      </c>
      <c r="K109">
        <v>0</v>
      </c>
      <c r="L109">
        <f t="shared" si="12"/>
        <v>11247.6</v>
      </c>
      <c r="M109">
        <f t="shared" si="13"/>
        <v>0</v>
      </c>
      <c r="N109">
        <v>11087.6</v>
      </c>
      <c r="O109">
        <v>160</v>
      </c>
      <c r="P109">
        <v>74258.09</v>
      </c>
      <c r="Q109">
        <v>0</v>
      </c>
      <c r="R109" s="1" t="s">
        <v>472</v>
      </c>
      <c r="S109">
        <v>8970</v>
      </c>
      <c r="T109">
        <v>2477</v>
      </c>
      <c r="U109">
        <v>0</v>
      </c>
      <c r="V109">
        <v>0</v>
      </c>
      <c r="W109">
        <v>65</v>
      </c>
      <c r="X109">
        <v>0</v>
      </c>
      <c r="Y109">
        <v>544</v>
      </c>
      <c r="Z109" t="s">
        <v>74</v>
      </c>
      <c r="AA109" t="s">
        <v>75</v>
      </c>
      <c r="AB109" t="s">
        <v>76</v>
      </c>
      <c r="AC109">
        <v>10.92</v>
      </c>
      <c r="AD109">
        <v>5000</v>
      </c>
      <c r="AE109">
        <f t="shared" si="14"/>
        <v>54600</v>
      </c>
      <c r="AF109">
        <f t="shared" si="15"/>
        <v>7602.0899999999965</v>
      </c>
    </row>
    <row r="110" spans="1:32" x14ac:dyDescent="0.2">
      <c r="A110" t="s">
        <v>474</v>
      </c>
      <c r="B110" t="s">
        <v>133</v>
      </c>
      <c r="C110" s="2" t="s">
        <v>451</v>
      </c>
      <c r="D110" t="s">
        <v>134</v>
      </c>
      <c r="E110" t="s">
        <v>135</v>
      </c>
      <c r="F110" t="s">
        <v>136</v>
      </c>
      <c r="G110" t="s">
        <v>227</v>
      </c>
      <c r="H110" t="s">
        <v>228</v>
      </c>
      <c r="I110">
        <v>1</v>
      </c>
      <c r="J110">
        <v>0</v>
      </c>
      <c r="K110">
        <v>26500</v>
      </c>
      <c r="L110">
        <f t="shared" si="12"/>
        <v>0</v>
      </c>
      <c r="M110">
        <f t="shared" si="13"/>
        <v>26500</v>
      </c>
      <c r="N110">
        <v>0</v>
      </c>
      <c r="O110">
        <v>0</v>
      </c>
      <c r="P110">
        <v>0</v>
      </c>
      <c r="Q110">
        <v>57000</v>
      </c>
      <c r="R110" s="1" t="s">
        <v>475</v>
      </c>
      <c r="S110">
        <v>0</v>
      </c>
      <c r="T110">
        <v>0</v>
      </c>
      <c r="U110">
        <v>0</v>
      </c>
      <c r="V110">
        <v>1200</v>
      </c>
      <c r="W110">
        <v>2820</v>
      </c>
      <c r="X110">
        <v>31</v>
      </c>
      <c r="Y110">
        <v>0</v>
      </c>
      <c r="Z110" t="s">
        <v>107</v>
      </c>
      <c r="AA110" t="s">
        <v>108</v>
      </c>
      <c r="AB110" t="s">
        <v>76</v>
      </c>
      <c r="AC110">
        <v>1</v>
      </c>
      <c r="AD110">
        <v>15200</v>
      </c>
      <c r="AE110">
        <f t="shared" si="14"/>
        <v>15200</v>
      </c>
      <c r="AF110">
        <f t="shared" si="15"/>
        <v>37749</v>
      </c>
    </row>
    <row r="111" spans="1:32" x14ac:dyDescent="0.2">
      <c r="A111" t="s">
        <v>474</v>
      </c>
      <c r="B111" t="s">
        <v>133</v>
      </c>
      <c r="D111" t="s">
        <v>134</v>
      </c>
      <c r="E111" t="s">
        <v>135</v>
      </c>
      <c r="F111" t="s">
        <v>136</v>
      </c>
      <c r="G111" t="s">
        <v>137</v>
      </c>
      <c r="H111" t="s">
        <v>138</v>
      </c>
      <c r="I111">
        <v>2</v>
      </c>
      <c r="J111">
        <v>0</v>
      </c>
      <c r="K111">
        <v>15250</v>
      </c>
      <c r="L111">
        <f t="shared" si="12"/>
        <v>0</v>
      </c>
      <c r="M111">
        <f t="shared" si="13"/>
        <v>30500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92</v>
      </c>
      <c r="AA111" t="s">
        <v>93</v>
      </c>
      <c r="AB111" t="s">
        <v>94</v>
      </c>
      <c r="AC111">
        <v>2</v>
      </c>
      <c r="AD111">
        <v>8400</v>
      </c>
      <c r="AE111">
        <f t="shared" si="14"/>
        <v>16800</v>
      </c>
      <c r="AF111">
        <f t="shared" si="15"/>
        <v>-16800</v>
      </c>
    </row>
    <row r="112" spans="1:32" x14ac:dyDescent="0.2">
      <c r="A112" t="s">
        <v>476</v>
      </c>
      <c r="B112" t="s">
        <v>33</v>
      </c>
      <c r="C112" s="2" t="s">
        <v>481</v>
      </c>
      <c r="D112" t="s">
        <v>477</v>
      </c>
      <c r="E112" t="s">
        <v>478</v>
      </c>
      <c r="F112" t="s">
        <v>479</v>
      </c>
      <c r="G112" t="s">
        <v>227</v>
      </c>
      <c r="H112" t="s">
        <v>228</v>
      </c>
      <c r="I112">
        <v>4</v>
      </c>
      <c r="J112">
        <v>2970</v>
      </c>
      <c r="K112">
        <v>0</v>
      </c>
      <c r="L112">
        <f t="shared" si="12"/>
        <v>11880</v>
      </c>
      <c r="M112">
        <f t="shared" si="13"/>
        <v>0</v>
      </c>
      <c r="N112">
        <v>11860</v>
      </c>
      <c r="O112">
        <v>20</v>
      </c>
      <c r="P112">
        <v>77850.23</v>
      </c>
      <c r="Q112">
        <v>0</v>
      </c>
      <c r="R112" s="1" t="s">
        <v>480</v>
      </c>
      <c r="S112">
        <v>8172.12</v>
      </c>
      <c r="T112">
        <v>2666</v>
      </c>
      <c r="U112">
        <v>89.67</v>
      </c>
      <c r="V112">
        <v>0</v>
      </c>
      <c r="W112">
        <v>0</v>
      </c>
      <c r="X112">
        <v>237</v>
      </c>
      <c r="Y112">
        <v>0</v>
      </c>
      <c r="Z112" t="s">
        <v>114</v>
      </c>
      <c r="AA112" t="s">
        <v>115</v>
      </c>
      <c r="AB112" t="s">
        <v>116</v>
      </c>
      <c r="AC112">
        <v>4</v>
      </c>
      <c r="AD112">
        <v>13300</v>
      </c>
      <c r="AE112">
        <f t="shared" si="14"/>
        <v>53200</v>
      </c>
      <c r="AF112">
        <f t="shared" si="15"/>
        <v>13485.440000000002</v>
      </c>
    </row>
    <row r="113" spans="1:32" x14ac:dyDescent="0.2">
      <c r="A113" t="s">
        <v>482</v>
      </c>
      <c r="B113" t="s">
        <v>33</v>
      </c>
      <c r="C113" s="2" t="s">
        <v>466</v>
      </c>
      <c r="D113" t="s">
        <v>483</v>
      </c>
      <c r="E113" t="s">
        <v>484</v>
      </c>
      <c r="F113" t="s">
        <v>485</v>
      </c>
      <c r="G113" t="s">
        <v>137</v>
      </c>
      <c r="H113" t="s">
        <v>138</v>
      </c>
      <c r="I113">
        <v>0.3</v>
      </c>
      <c r="J113">
        <v>13650</v>
      </c>
      <c r="K113">
        <v>0</v>
      </c>
      <c r="L113">
        <f t="shared" si="12"/>
        <v>4095</v>
      </c>
      <c r="M113">
        <f t="shared" si="13"/>
        <v>0</v>
      </c>
      <c r="N113">
        <v>14829</v>
      </c>
      <c r="O113">
        <v>30</v>
      </c>
      <c r="P113">
        <v>95452.79</v>
      </c>
      <c r="Q113">
        <v>0</v>
      </c>
      <c r="R113" s="1" t="s">
        <v>486</v>
      </c>
      <c r="S113">
        <v>2859.5</v>
      </c>
      <c r="T113">
        <v>3275</v>
      </c>
      <c r="U113">
        <v>109.86</v>
      </c>
      <c r="V113">
        <v>0</v>
      </c>
      <c r="W113">
        <v>1328</v>
      </c>
      <c r="X113">
        <v>13</v>
      </c>
      <c r="Y113">
        <v>0</v>
      </c>
      <c r="Z113" t="s">
        <v>39</v>
      </c>
      <c r="AA113" t="s">
        <v>40</v>
      </c>
      <c r="AB113" t="s">
        <v>41</v>
      </c>
      <c r="AC113">
        <v>0.3</v>
      </c>
      <c r="AD113">
        <v>85000</v>
      </c>
      <c r="AE113">
        <f t="shared" si="14"/>
        <v>25500</v>
      </c>
      <c r="AF113">
        <f t="shared" si="15"/>
        <v>62367.429999999993</v>
      </c>
    </row>
    <row r="114" spans="1:32" x14ac:dyDescent="0.2">
      <c r="A114" t="s">
        <v>482</v>
      </c>
      <c r="B114" t="s">
        <v>33</v>
      </c>
      <c r="D114" t="s">
        <v>483</v>
      </c>
      <c r="E114" t="s">
        <v>484</v>
      </c>
      <c r="F114" t="s">
        <v>485</v>
      </c>
      <c r="G114" t="s">
        <v>227</v>
      </c>
      <c r="H114" t="s">
        <v>228</v>
      </c>
      <c r="I114">
        <v>1.5</v>
      </c>
      <c r="J114">
        <v>2600</v>
      </c>
      <c r="K114">
        <v>0</v>
      </c>
      <c r="L114">
        <f t="shared" si="12"/>
        <v>3900</v>
      </c>
      <c r="M114">
        <f t="shared" si="13"/>
        <v>0</v>
      </c>
      <c r="N114">
        <v>0</v>
      </c>
      <c r="O114">
        <v>0</v>
      </c>
      <c r="P114">
        <v>0</v>
      </c>
      <c r="Q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144</v>
      </c>
      <c r="Y114">
        <v>0</v>
      </c>
      <c r="Z114" t="s">
        <v>114</v>
      </c>
      <c r="AA114" t="s">
        <v>115</v>
      </c>
      <c r="AB114" t="s">
        <v>116</v>
      </c>
      <c r="AC114">
        <v>1.5</v>
      </c>
      <c r="AD114">
        <v>13800</v>
      </c>
      <c r="AE114">
        <f t="shared" si="14"/>
        <v>20700</v>
      </c>
      <c r="AF114">
        <f t="shared" si="15"/>
        <v>-20844</v>
      </c>
    </row>
    <row r="115" spans="1:32" x14ac:dyDescent="0.2">
      <c r="A115" t="s">
        <v>482</v>
      </c>
      <c r="B115" t="s">
        <v>33</v>
      </c>
      <c r="D115" t="s">
        <v>483</v>
      </c>
      <c r="E115" t="s">
        <v>484</v>
      </c>
      <c r="F115" t="s">
        <v>485</v>
      </c>
      <c r="G115" t="s">
        <v>54</v>
      </c>
      <c r="H115" t="s">
        <v>55</v>
      </c>
      <c r="I115">
        <v>5.28</v>
      </c>
      <c r="J115">
        <v>1300</v>
      </c>
      <c r="K115">
        <v>0</v>
      </c>
      <c r="L115">
        <f t="shared" si="12"/>
        <v>6864</v>
      </c>
      <c r="M115">
        <f t="shared" si="13"/>
        <v>0</v>
      </c>
      <c r="N115">
        <v>0</v>
      </c>
      <c r="O115">
        <v>0</v>
      </c>
      <c r="P115">
        <v>0</v>
      </c>
      <c r="Q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37</v>
      </c>
      <c r="Y115">
        <v>0</v>
      </c>
      <c r="Z115" t="s">
        <v>114</v>
      </c>
      <c r="AA115" t="s">
        <v>115</v>
      </c>
      <c r="AB115" t="s">
        <v>116</v>
      </c>
      <c r="AC115">
        <v>5.28</v>
      </c>
      <c r="AD115">
        <v>6500</v>
      </c>
      <c r="AE115">
        <f t="shared" si="14"/>
        <v>34320</v>
      </c>
      <c r="AF115">
        <f t="shared" si="15"/>
        <v>-34357</v>
      </c>
    </row>
    <row r="116" spans="1:32" x14ac:dyDescent="0.2">
      <c r="A116" t="s">
        <v>487</v>
      </c>
      <c r="B116" t="s">
        <v>133</v>
      </c>
      <c r="C116" s="2" t="s">
        <v>489</v>
      </c>
      <c r="D116" t="s">
        <v>284</v>
      </c>
      <c r="E116" t="s">
        <v>285</v>
      </c>
      <c r="F116" t="s">
        <v>181</v>
      </c>
      <c r="G116" t="s">
        <v>227</v>
      </c>
      <c r="H116" t="s">
        <v>228</v>
      </c>
      <c r="I116">
        <v>0.3</v>
      </c>
      <c r="J116">
        <v>0</v>
      </c>
      <c r="K116">
        <v>25500</v>
      </c>
      <c r="L116">
        <f t="shared" si="12"/>
        <v>0</v>
      </c>
      <c r="M116">
        <f t="shared" si="13"/>
        <v>7650</v>
      </c>
      <c r="N116">
        <v>0</v>
      </c>
      <c r="O116">
        <v>0</v>
      </c>
      <c r="P116">
        <v>0</v>
      </c>
      <c r="Q116">
        <v>7650</v>
      </c>
      <c r="R116" s="1" t="s">
        <v>488</v>
      </c>
      <c r="S116">
        <v>0</v>
      </c>
      <c r="T116">
        <v>0</v>
      </c>
      <c r="U116">
        <v>0</v>
      </c>
      <c r="V116">
        <v>750</v>
      </c>
      <c r="W116">
        <v>0</v>
      </c>
      <c r="X116">
        <v>31</v>
      </c>
      <c r="Y116">
        <v>0</v>
      </c>
      <c r="Z116" t="s">
        <v>107</v>
      </c>
      <c r="AA116" t="s">
        <v>108</v>
      </c>
      <c r="AB116" t="s">
        <v>76</v>
      </c>
      <c r="AC116">
        <v>0.3</v>
      </c>
      <c r="AD116">
        <v>14333.33</v>
      </c>
      <c r="AE116">
        <f t="shared" si="14"/>
        <v>4299.9989999999998</v>
      </c>
      <c r="AF116">
        <f t="shared" si="15"/>
        <v>2569.0010000000002</v>
      </c>
    </row>
    <row r="117" spans="1:32" x14ac:dyDescent="0.2">
      <c r="A117" t="s">
        <v>490</v>
      </c>
      <c r="B117" t="s">
        <v>33</v>
      </c>
      <c r="C117" s="2" t="s">
        <v>492</v>
      </c>
      <c r="D117" t="s">
        <v>150</v>
      </c>
      <c r="E117" t="s">
        <v>151</v>
      </c>
      <c r="F117" t="s">
        <v>152</v>
      </c>
      <c r="G117" t="s">
        <v>72</v>
      </c>
      <c r="H117" t="s">
        <v>73</v>
      </c>
      <c r="I117">
        <v>25.2</v>
      </c>
      <c r="J117">
        <v>800</v>
      </c>
      <c r="K117">
        <v>0</v>
      </c>
      <c r="L117">
        <f t="shared" si="12"/>
        <v>20160</v>
      </c>
      <c r="M117">
        <f t="shared" si="13"/>
        <v>0</v>
      </c>
      <c r="N117">
        <v>20157</v>
      </c>
      <c r="O117">
        <v>3</v>
      </c>
      <c r="P117">
        <v>136870.06</v>
      </c>
      <c r="Q117">
        <v>0</v>
      </c>
      <c r="R117" s="1" t="s">
        <v>491</v>
      </c>
      <c r="S117">
        <v>2470</v>
      </c>
      <c r="T117">
        <v>3284</v>
      </c>
      <c r="U117">
        <v>161.63</v>
      </c>
      <c r="V117">
        <v>7000</v>
      </c>
      <c r="W117">
        <v>0</v>
      </c>
      <c r="X117">
        <v>157</v>
      </c>
      <c r="Y117">
        <v>0</v>
      </c>
      <c r="Z117" t="s">
        <v>49</v>
      </c>
      <c r="AA117" t="s">
        <v>50</v>
      </c>
      <c r="AB117" t="s">
        <v>51</v>
      </c>
      <c r="AC117">
        <v>25.2</v>
      </c>
      <c r="AD117">
        <v>5000</v>
      </c>
      <c r="AE117">
        <f t="shared" si="14"/>
        <v>126000</v>
      </c>
      <c r="AF117">
        <f t="shared" si="15"/>
        <v>-2202.570000000007</v>
      </c>
    </row>
    <row r="118" spans="1:32" x14ac:dyDescent="0.2">
      <c r="A118" t="s">
        <v>493</v>
      </c>
      <c r="B118" t="s">
        <v>33</v>
      </c>
      <c r="C118" s="2" t="s">
        <v>480</v>
      </c>
      <c r="D118" t="s">
        <v>44</v>
      </c>
      <c r="E118" t="s">
        <v>45</v>
      </c>
      <c r="F118" t="s">
        <v>46</v>
      </c>
      <c r="G118" t="s">
        <v>54</v>
      </c>
      <c r="H118" t="s">
        <v>55</v>
      </c>
      <c r="I118">
        <v>10.5</v>
      </c>
      <c r="J118">
        <v>1620</v>
      </c>
      <c r="K118">
        <v>0</v>
      </c>
      <c r="L118">
        <f t="shared" si="12"/>
        <v>17010</v>
      </c>
      <c r="M118">
        <f t="shared" si="13"/>
        <v>0</v>
      </c>
      <c r="N118">
        <v>26935</v>
      </c>
      <c r="O118">
        <v>75</v>
      </c>
      <c r="P118">
        <v>176039.08</v>
      </c>
      <c r="Q118">
        <v>0</v>
      </c>
      <c r="R118" s="1" t="s">
        <v>494</v>
      </c>
      <c r="S118">
        <v>0</v>
      </c>
      <c r="T118">
        <v>2620</v>
      </c>
      <c r="U118">
        <v>0</v>
      </c>
      <c r="V118">
        <v>6360.7</v>
      </c>
      <c r="W118">
        <v>23625</v>
      </c>
      <c r="X118">
        <v>224</v>
      </c>
      <c r="Y118">
        <v>0</v>
      </c>
      <c r="Z118" t="s">
        <v>453</v>
      </c>
      <c r="AA118" t="s">
        <v>454</v>
      </c>
      <c r="AB118" t="s">
        <v>455</v>
      </c>
      <c r="AC118">
        <v>10.5</v>
      </c>
      <c r="AD118">
        <v>5405</v>
      </c>
      <c r="AE118">
        <f t="shared" si="14"/>
        <v>56752.5</v>
      </c>
      <c r="AF118">
        <f t="shared" si="15"/>
        <v>86456.879999999976</v>
      </c>
    </row>
    <row r="119" spans="1:32" x14ac:dyDescent="0.2">
      <c r="A119" t="s">
        <v>493</v>
      </c>
      <c r="B119" t="s">
        <v>33</v>
      </c>
      <c r="D119" t="s">
        <v>44</v>
      </c>
      <c r="E119" t="s">
        <v>45</v>
      </c>
      <c r="F119" t="s">
        <v>46</v>
      </c>
      <c r="G119" t="s">
        <v>234</v>
      </c>
      <c r="H119" t="s">
        <v>228</v>
      </c>
      <c r="I119">
        <v>4</v>
      </c>
      <c r="J119">
        <v>2500</v>
      </c>
      <c r="K119">
        <v>0</v>
      </c>
      <c r="L119">
        <f t="shared" si="12"/>
        <v>10000</v>
      </c>
      <c r="M119">
        <f t="shared" si="13"/>
        <v>0</v>
      </c>
      <c r="N119">
        <v>0</v>
      </c>
      <c r="O119">
        <v>0</v>
      </c>
      <c r="P119">
        <v>0</v>
      </c>
      <c r="Q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114</v>
      </c>
      <c r="AA119" t="s">
        <v>115</v>
      </c>
      <c r="AB119" t="s">
        <v>116</v>
      </c>
      <c r="AC119">
        <v>4</v>
      </c>
      <c r="AD119">
        <v>9500</v>
      </c>
      <c r="AE119">
        <f t="shared" si="14"/>
        <v>38000</v>
      </c>
      <c r="AF119">
        <f t="shared" si="15"/>
        <v>-38000</v>
      </c>
    </row>
    <row r="120" spans="1:32" x14ac:dyDescent="0.2">
      <c r="A120" t="s">
        <v>495</v>
      </c>
      <c r="B120" t="s">
        <v>33</v>
      </c>
      <c r="C120" s="2" t="s">
        <v>492</v>
      </c>
      <c r="D120" t="s">
        <v>80</v>
      </c>
      <c r="E120" t="s">
        <v>81</v>
      </c>
      <c r="F120" t="s">
        <v>82</v>
      </c>
      <c r="G120" t="s">
        <v>143</v>
      </c>
      <c r="H120" t="s">
        <v>48</v>
      </c>
      <c r="I120">
        <v>4.4000000000000004</v>
      </c>
      <c r="J120">
        <v>880</v>
      </c>
      <c r="K120">
        <v>0</v>
      </c>
      <c r="L120">
        <f t="shared" si="12"/>
        <v>3872.0000000000005</v>
      </c>
      <c r="M120">
        <f t="shared" si="13"/>
        <v>0</v>
      </c>
      <c r="N120">
        <v>35655</v>
      </c>
      <c r="O120">
        <v>18</v>
      </c>
      <c r="P120">
        <v>232709.49</v>
      </c>
      <c r="Q120">
        <v>0</v>
      </c>
      <c r="R120" s="1" t="s">
        <v>496</v>
      </c>
      <c r="S120">
        <v>780</v>
      </c>
      <c r="T120">
        <v>3704</v>
      </c>
      <c r="U120">
        <v>137.69</v>
      </c>
      <c r="V120">
        <v>0</v>
      </c>
      <c r="W120">
        <v>0</v>
      </c>
      <c r="X120">
        <v>0</v>
      </c>
      <c r="Y120">
        <v>0</v>
      </c>
      <c r="Z120" t="s">
        <v>74</v>
      </c>
      <c r="AA120" t="s">
        <v>75</v>
      </c>
      <c r="AB120" t="s">
        <v>76</v>
      </c>
      <c r="AC120">
        <v>4.4000000000000004</v>
      </c>
      <c r="AD120">
        <v>5300</v>
      </c>
      <c r="AE120">
        <f t="shared" si="14"/>
        <v>23320.000000000004</v>
      </c>
      <c r="AF120">
        <f t="shared" si="15"/>
        <v>204767.8</v>
      </c>
    </row>
    <row r="121" spans="1:32" x14ac:dyDescent="0.2">
      <c r="A121" t="s">
        <v>495</v>
      </c>
      <c r="B121" t="s">
        <v>33</v>
      </c>
      <c r="D121" t="s">
        <v>80</v>
      </c>
      <c r="E121" t="s">
        <v>81</v>
      </c>
      <c r="F121" t="s">
        <v>82</v>
      </c>
      <c r="G121" t="s">
        <v>47</v>
      </c>
      <c r="H121" t="s">
        <v>48</v>
      </c>
      <c r="I121">
        <v>4.4000000000000004</v>
      </c>
      <c r="J121">
        <v>880</v>
      </c>
      <c r="K121">
        <v>0</v>
      </c>
      <c r="L121">
        <f t="shared" si="12"/>
        <v>3872.0000000000005</v>
      </c>
      <c r="M121">
        <f t="shared" si="13"/>
        <v>0</v>
      </c>
      <c r="N121">
        <v>0</v>
      </c>
      <c r="O121">
        <v>0</v>
      </c>
      <c r="P121">
        <v>0</v>
      </c>
      <c r="Q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74</v>
      </c>
      <c r="AA121" t="s">
        <v>75</v>
      </c>
      <c r="AB121" t="s">
        <v>76</v>
      </c>
      <c r="AC121">
        <v>4.4000000000000004</v>
      </c>
      <c r="AD121">
        <v>5300</v>
      </c>
      <c r="AE121">
        <f t="shared" si="14"/>
        <v>23320.000000000004</v>
      </c>
      <c r="AF121">
        <f t="shared" si="15"/>
        <v>-23320.000000000004</v>
      </c>
    </row>
    <row r="122" spans="1:32" x14ac:dyDescent="0.2">
      <c r="A122" t="s">
        <v>495</v>
      </c>
      <c r="B122" t="s">
        <v>33</v>
      </c>
      <c r="D122" t="s">
        <v>80</v>
      </c>
      <c r="E122" t="s">
        <v>81</v>
      </c>
      <c r="F122" t="s">
        <v>82</v>
      </c>
      <c r="G122" t="s">
        <v>72</v>
      </c>
      <c r="H122" t="s">
        <v>73</v>
      </c>
      <c r="I122">
        <v>11</v>
      </c>
      <c r="J122">
        <v>955</v>
      </c>
      <c r="K122">
        <v>0</v>
      </c>
      <c r="L122">
        <f t="shared" si="12"/>
        <v>10505</v>
      </c>
      <c r="M122">
        <f t="shared" si="13"/>
        <v>0</v>
      </c>
      <c r="N122">
        <v>0</v>
      </c>
      <c r="O122">
        <v>0</v>
      </c>
      <c r="P122">
        <v>0</v>
      </c>
      <c r="Q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74</v>
      </c>
      <c r="AA122" t="s">
        <v>75</v>
      </c>
      <c r="AB122" t="s">
        <v>76</v>
      </c>
      <c r="AC122">
        <v>11</v>
      </c>
      <c r="AD122">
        <v>5500</v>
      </c>
      <c r="AE122">
        <f t="shared" si="14"/>
        <v>60500</v>
      </c>
      <c r="AF122">
        <f t="shared" si="15"/>
        <v>-60500</v>
      </c>
    </row>
    <row r="123" spans="1:32" x14ac:dyDescent="0.2">
      <c r="A123" t="s">
        <v>497</v>
      </c>
      <c r="B123" t="s">
        <v>33</v>
      </c>
      <c r="C123" s="2" t="s">
        <v>501</v>
      </c>
      <c r="D123" t="s">
        <v>348</v>
      </c>
      <c r="E123" t="s">
        <v>349</v>
      </c>
      <c r="F123" t="s">
        <v>350</v>
      </c>
      <c r="G123" t="s">
        <v>90</v>
      </c>
      <c r="H123" t="s">
        <v>91</v>
      </c>
      <c r="I123">
        <v>4</v>
      </c>
      <c r="J123">
        <v>2200</v>
      </c>
      <c r="K123">
        <v>0</v>
      </c>
      <c r="L123">
        <f t="shared" si="12"/>
        <v>8800</v>
      </c>
      <c r="M123">
        <f t="shared" si="13"/>
        <v>0</v>
      </c>
      <c r="N123">
        <v>8780</v>
      </c>
      <c r="O123">
        <v>20</v>
      </c>
      <c r="P123">
        <v>57641.58</v>
      </c>
      <c r="Q123">
        <v>0</v>
      </c>
      <c r="R123" s="1" t="s">
        <v>500</v>
      </c>
      <c r="S123">
        <v>0</v>
      </c>
      <c r="T123">
        <v>3278</v>
      </c>
      <c r="U123">
        <v>0</v>
      </c>
      <c r="V123">
        <v>0</v>
      </c>
      <c r="W123">
        <v>0</v>
      </c>
      <c r="X123">
        <v>345</v>
      </c>
      <c r="Y123">
        <v>0</v>
      </c>
      <c r="Z123" t="s">
        <v>498</v>
      </c>
      <c r="AA123" t="s">
        <v>499</v>
      </c>
      <c r="AB123" t="s">
        <v>130</v>
      </c>
      <c r="AC123">
        <v>4</v>
      </c>
      <c r="AD123">
        <v>10500</v>
      </c>
      <c r="AE123">
        <f t="shared" si="14"/>
        <v>42000</v>
      </c>
      <c r="AF123">
        <f t="shared" si="15"/>
        <v>12018.580000000002</v>
      </c>
    </row>
    <row r="124" spans="1:32" x14ac:dyDescent="0.2">
      <c r="A124" t="s">
        <v>502</v>
      </c>
      <c r="B124" t="s">
        <v>33</v>
      </c>
      <c r="C124" s="2" t="s">
        <v>504</v>
      </c>
      <c r="D124" t="s">
        <v>34</v>
      </c>
      <c r="E124" t="s">
        <v>35</v>
      </c>
      <c r="F124" t="s">
        <v>36</v>
      </c>
      <c r="G124" t="s">
        <v>37</v>
      </c>
      <c r="H124" t="s">
        <v>38</v>
      </c>
      <c r="I124">
        <v>1.5</v>
      </c>
      <c r="J124">
        <v>2500</v>
      </c>
      <c r="K124">
        <v>0</v>
      </c>
      <c r="L124">
        <f t="shared" si="12"/>
        <v>3750</v>
      </c>
      <c r="M124">
        <f t="shared" si="13"/>
        <v>0</v>
      </c>
      <c r="N124">
        <v>3590</v>
      </c>
      <c r="O124">
        <v>160</v>
      </c>
      <c r="P124">
        <v>23847.759999999998</v>
      </c>
      <c r="Q124">
        <v>0</v>
      </c>
      <c r="R124" s="1" t="s">
        <v>503</v>
      </c>
      <c r="S124">
        <v>0</v>
      </c>
      <c r="T124">
        <v>1065</v>
      </c>
      <c r="U124">
        <v>0</v>
      </c>
      <c r="V124">
        <v>0</v>
      </c>
      <c r="W124">
        <v>0</v>
      </c>
      <c r="X124">
        <v>0</v>
      </c>
      <c r="Y124">
        <v>544</v>
      </c>
      <c r="Z124" t="s">
        <v>39</v>
      </c>
      <c r="AA124" t="s">
        <v>40</v>
      </c>
      <c r="AB124" t="s">
        <v>41</v>
      </c>
      <c r="AC124">
        <v>1.5</v>
      </c>
      <c r="AD124">
        <v>13300</v>
      </c>
      <c r="AE124">
        <f t="shared" si="14"/>
        <v>19950</v>
      </c>
      <c r="AF124">
        <f t="shared" si="15"/>
        <v>2288.7599999999984</v>
      </c>
    </row>
    <row r="125" spans="1:32" x14ac:dyDescent="0.2">
      <c r="A125" t="s">
        <v>505</v>
      </c>
      <c r="B125" t="s">
        <v>33</v>
      </c>
      <c r="C125" s="2" t="s">
        <v>507</v>
      </c>
      <c r="D125" t="s">
        <v>119</v>
      </c>
      <c r="E125" t="s">
        <v>120</v>
      </c>
      <c r="F125" t="s">
        <v>121</v>
      </c>
      <c r="G125" t="s">
        <v>90</v>
      </c>
      <c r="H125" t="s">
        <v>91</v>
      </c>
      <c r="I125">
        <v>3.9</v>
      </c>
      <c r="J125">
        <v>2230</v>
      </c>
      <c r="K125">
        <v>0</v>
      </c>
      <c r="L125">
        <f t="shared" si="12"/>
        <v>8697</v>
      </c>
      <c r="M125">
        <f t="shared" si="13"/>
        <v>0</v>
      </c>
      <c r="N125">
        <v>12507</v>
      </c>
      <c r="O125">
        <v>33</v>
      </c>
      <c r="P125">
        <v>81923.350000000006</v>
      </c>
      <c r="Q125">
        <v>0</v>
      </c>
      <c r="R125" s="1" t="s">
        <v>506</v>
      </c>
      <c r="S125">
        <v>2310</v>
      </c>
      <c r="T125">
        <v>2575</v>
      </c>
      <c r="U125">
        <v>100.19</v>
      </c>
      <c r="V125">
        <v>0</v>
      </c>
      <c r="W125">
        <v>1355</v>
      </c>
      <c r="X125">
        <v>36</v>
      </c>
      <c r="Y125">
        <v>0</v>
      </c>
      <c r="Z125" t="s">
        <v>92</v>
      </c>
      <c r="AA125" t="s">
        <v>93</v>
      </c>
      <c r="AB125" t="s">
        <v>94</v>
      </c>
      <c r="AC125">
        <v>3.9</v>
      </c>
      <c r="AD125">
        <v>12200</v>
      </c>
      <c r="AE125">
        <f t="shared" si="14"/>
        <v>47580</v>
      </c>
      <c r="AF125">
        <f t="shared" si="15"/>
        <v>27967.160000000003</v>
      </c>
    </row>
    <row r="126" spans="1:32" x14ac:dyDescent="0.2">
      <c r="A126" t="s">
        <v>505</v>
      </c>
      <c r="B126" t="s">
        <v>33</v>
      </c>
      <c r="D126" t="s">
        <v>119</v>
      </c>
      <c r="E126" t="s">
        <v>120</v>
      </c>
      <c r="F126" t="s">
        <v>121</v>
      </c>
      <c r="G126" t="s">
        <v>205</v>
      </c>
      <c r="H126" t="s">
        <v>206</v>
      </c>
      <c r="I126">
        <v>2.1</v>
      </c>
      <c r="J126">
        <v>1830</v>
      </c>
      <c r="K126">
        <v>0</v>
      </c>
      <c r="L126">
        <f t="shared" si="12"/>
        <v>3843</v>
      </c>
      <c r="M126">
        <f t="shared" si="13"/>
        <v>0</v>
      </c>
      <c r="N126">
        <v>0</v>
      </c>
      <c r="O126">
        <v>0</v>
      </c>
      <c r="P126">
        <v>0</v>
      </c>
      <c r="Q126">
        <v>0</v>
      </c>
      <c r="S126">
        <v>0</v>
      </c>
      <c r="T126">
        <v>0</v>
      </c>
      <c r="U126">
        <v>0</v>
      </c>
      <c r="V126">
        <v>0</v>
      </c>
      <c r="W126">
        <v>4725</v>
      </c>
      <c r="X126">
        <v>0</v>
      </c>
      <c r="Y126">
        <v>0</v>
      </c>
      <c r="Z126" t="s">
        <v>114</v>
      </c>
      <c r="AA126" t="s">
        <v>115</v>
      </c>
      <c r="AB126" t="s">
        <v>116</v>
      </c>
      <c r="AC126">
        <v>2.1</v>
      </c>
      <c r="AD126">
        <v>7200</v>
      </c>
      <c r="AE126">
        <f t="shared" si="14"/>
        <v>15120</v>
      </c>
      <c r="AF126">
        <f t="shared" si="15"/>
        <v>-19845</v>
      </c>
    </row>
    <row r="127" spans="1:32" x14ac:dyDescent="0.2">
      <c r="A127" t="s">
        <v>508</v>
      </c>
      <c r="B127" t="s">
        <v>33</v>
      </c>
      <c r="C127" s="2" t="s">
        <v>494</v>
      </c>
      <c r="D127" t="s">
        <v>448</v>
      </c>
      <c r="E127" t="s">
        <v>449</v>
      </c>
      <c r="F127" t="s">
        <v>450</v>
      </c>
      <c r="G127" t="s">
        <v>234</v>
      </c>
      <c r="H127" t="s">
        <v>228</v>
      </c>
      <c r="I127">
        <v>4.8</v>
      </c>
      <c r="J127">
        <v>2110</v>
      </c>
      <c r="K127">
        <v>0</v>
      </c>
      <c r="L127">
        <f t="shared" si="12"/>
        <v>10128</v>
      </c>
      <c r="M127">
        <f t="shared" si="13"/>
        <v>0</v>
      </c>
      <c r="N127">
        <v>10093</v>
      </c>
      <c r="O127">
        <v>226.06</v>
      </c>
      <c r="P127">
        <v>65188.67</v>
      </c>
      <c r="Q127">
        <v>0</v>
      </c>
      <c r="R127" s="1" t="s">
        <v>509</v>
      </c>
      <c r="S127">
        <v>-8243</v>
      </c>
      <c r="T127">
        <v>0</v>
      </c>
      <c r="U127">
        <v>100.04</v>
      </c>
      <c r="V127">
        <v>0</v>
      </c>
      <c r="W127">
        <v>0</v>
      </c>
      <c r="X127">
        <v>0</v>
      </c>
      <c r="Y127">
        <v>0</v>
      </c>
      <c r="Z127" t="s">
        <v>92</v>
      </c>
      <c r="AA127" t="s">
        <v>93</v>
      </c>
      <c r="AB127" t="s">
        <v>94</v>
      </c>
      <c r="AC127">
        <v>4.8</v>
      </c>
      <c r="AD127">
        <v>11000</v>
      </c>
      <c r="AE127">
        <f t="shared" si="14"/>
        <v>52800</v>
      </c>
      <c r="AF127">
        <f t="shared" si="15"/>
        <v>20531.630000000005</v>
      </c>
    </row>
    <row r="128" spans="1:32" x14ac:dyDescent="0.2">
      <c r="A128" t="s">
        <v>510</v>
      </c>
      <c r="B128" t="s">
        <v>33</v>
      </c>
      <c r="C128" s="2" t="s">
        <v>496</v>
      </c>
      <c r="D128" t="s">
        <v>511</v>
      </c>
      <c r="E128" t="s">
        <v>512</v>
      </c>
      <c r="F128" t="s">
        <v>513</v>
      </c>
      <c r="G128" t="s">
        <v>205</v>
      </c>
      <c r="H128" t="s">
        <v>206</v>
      </c>
      <c r="I128">
        <v>1</v>
      </c>
      <c r="J128">
        <v>1800</v>
      </c>
      <c r="K128">
        <v>0</v>
      </c>
      <c r="L128">
        <f t="shared" si="12"/>
        <v>1800</v>
      </c>
      <c r="M128">
        <f t="shared" si="13"/>
        <v>0</v>
      </c>
      <c r="N128">
        <v>1758</v>
      </c>
      <c r="O128">
        <v>42</v>
      </c>
      <c r="P128">
        <v>11464.27</v>
      </c>
      <c r="Q128">
        <v>0</v>
      </c>
      <c r="R128" s="1" t="s">
        <v>514</v>
      </c>
      <c r="S128">
        <v>2588.36</v>
      </c>
      <c r="T128">
        <v>0</v>
      </c>
      <c r="U128">
        <v>0</v>
      </c>
      <c r="V128">
        <v>0</v>
      </c>
      <c r="W128">
        <v>0</v>
      </c>
      <c r="X128">
        <v>454</v>
      </c>
      <c r="Y128">
        <v>0</v>
      </c>
      <c r="Z128" t="s">
        <v>92</v>
      </c>
      <c r="AA128" t="s">
        <v>93</v>
      </c>
      <c r="AB128" t="s">
        <v>94</v>
      </c>
      <c r="AC128">
        <v>1</v>
      </c>
      <c r="AD128">
        <v>9500</v>
      </c>
      <c r="AE128">
        <f t="shared" si="14"/>
        <v>9500</v>
      </c>
      <c r="AF128">
        <f t="shared" si="15"/>
        <v>-1078.0900000000001</v>
      </c>
    </row>
    <row r="129" spans="1:32" x14ac:dyDescent="0.2">
      <c r="A129" t="s">
        <v>515</v>
      </c>
      <c r="B129" t="s">
        <v>33</v>
      </c>
      <c r="C129" s="2" t="s">
        <v>517</v>
      </c>
      <c r="D129" t="s">
        <v>156</v>
      </c>
      <c r="E129" t="s">
        <v>157</v>
      </c>
      <c r="F129" t="s">
        <v>158</v>
      </c>
      <c r="G129" t="s">
        <v>84</v>
      </c>
      <c r="H129" t="s">
        <v>85</v>
      </c>
      <c r="I129">
        <v>20</v>
      </c>
      <c r="J129">
        <v>964</v>
      </c>
      <c r="K129">
        <v>0</v>
      </c>
      <c r="L129">
        <f t="shared" si="12"/>
        <v>19280</v>
      </c>
      <c r="M129">
        <f t="shared" si="13"/>
        <v>0</v>
      </c>
      <c r="N129">
        <v>7894</v>
      </c>
      <c r="O129">
        <v>90</v>
      </c>
      <c r="P129">
        <v>51976.55</v>
      </c>
      <c r="Q129">
        <v>0</v>
      </c>
      <c r="R129" s="1" t="s">
        <v>516</v>
      </c>
      <c r="S129">
        <v>7236.02</v>
      </c>
      <c r="T129">
        <v>3376</v>
      </c>
      <c r="U129">
        <v>142.6</v>
      </c>
      <c r="V129">
        <v>0</v>
      </c>
      <c r="W129">
        <v>0</v>
      </c>
      <c r="X129">
        <v>201</v>
      </c>
      <c r="Y129">
        <v>0</v>
      </c>
      <c r="Z129" t="s">
        <v>74</v>
      </c>
      <c r="AA129" t="s">
        <v>75</v>
      </c>
      <c r="AB129" t="s">
        <v>76</v>
      </c>
      <c r="AC129">
        <v>20</v>
      </c>
      <c r="AD129">
        <v>5012.8</v>
      </c>
      <c r="AE129">
        <f t="shared" si="14"/>
        <v>100256</v>
      </c>
      <c r="AF129">
        <f t="shared" si="15"/>
        <v>-59235.07</v>
      </c>
    </row>
    <row r="130" spans="1:32" x14ac:dyDescent="0.2">
      <c r="A130" t="s">
        <v>518</v>
      </c>
      <c r="B130" t="s">
        <v>33</v>
      </c>
      <c r="C130" s="2" t="s">
        <v>520</v>
      </c>
      <c r="D130" t="s">
        <v>156</v>
      </c>
      <c r="E130" t="s">
        <v>157</v>
      </c>
      <c r="F130" t="s">
        <v>158</v>
      </c>
      <c r="G130" t="s">
        <v>72</v>
      </c>
      <c r="H130" t="s">
        <v>73</v>
      </c>
      <c r="I130">
        <v>10</v>
      </c>
      <c r="J130">
        <v>1091</v>
      </c>
      <c r="K130">
        <v>0</v>
      </c>
      <c r="L130">
        <f t="shared" ref="L130:L161" si="16">I130*J130</f>
        <v>10910</v>
      </c>
      <c r="M130">
        <f t="shared" ref="M130:M161" si="17">I130*K130</f>
        <v>0</v>
      </c>
      <c r="N130">
        <v>16771</v>
      </c>
      <c r="O130">
        <v>45</v>
      </c>
      <c r="P130">
        <v>109316.73</v>
      </c>
      <c r="Q130">
        <v>0</v>
      </c>
      <c r="R130" s="1" t="s">
        <v>519</v>
      </c>
      <c r="S130">
        <v>13485.31</v>
      </c>
      <c r="T130">
        <v>3376</v>
      </c>
      <c r="U130">
        <v>155.44</v>
      </c>
      <c r="V130">
        <v>0</v>
      </c>
      <c r="W130">
        <v>0</v>
      </c>
      <c r="X130">
        <v>144</v>
      </c>
      <c r="Y130">
        <v>0</v>
      </c>
      <c r="Z130" t="s">
        <v>74</v>
      </c>
      <c r="AA130" t="s">
        <v>75</v>
      </c>
      <c r="AB130" t="s">
        <v>76</v>
      </c>
      <c r="AC130">
        <v>10</v>
      </c>
      <c r="AD130">
        <v>6300</v>
      </c>
      <c r="AE130">
        <f t="shared" ref="AE130:AE161" si="18">AC130*AD130</f>
        <v>63000</v>
      </c>
      <c r="AF130">
        <f t="shared" ref="AF130:AF161" si="19">P130+Q130-S130-T130-U130-V130-W130-X130-Y130-AE130</f>
        <v>29155.979999999996</v>
      </c>
    </row>
    <row r="131" spans="1:32" x14ac:dyDescent="0.2">
      <c r="A131" t="s">
        <v>518</v>
      </c>
      <c r="B131" t="s">
        <v>33</v>
      </c>
      <c r="C131" s="2"/>
      <c r="D131" t="s">
        <v>156</v>
      </c>
      <c r="E131" t="s">
        <v>157</v>
      </c>
      <c r="F131" t="s">
        <v>158</v>
      </c>
      <c r="G131" t="s">
        <v>84</v>
      </c>
      <c r="H131" t="s">
        <v>85</v>
      </c>
      <c r="I131">
        <v>10</v>
      </c>
      <c r="J131">
        <v>1011</v>
      </c>
      <c r="K131">
        <v>0</v>
      </c>
      <c r="L131">
        <f t="shared" si="16"/>
        <v>10110</v>
      </c>
      <c r="M131">
        <f t="shared" si="17"/>
        <v>0</v>
      </c>
      <c r="N131">
        <v>15455</v>
      </c>
      <c r="O131">
        <v>45</v>
      </c>
      <c r="P131">
        <v>100908.79</v>
      </c>
      <c r="Q131">
        <v>0</v>
      </c>
      <c r="R131" s="1" t="s">
        <v>521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144</v>
      </c>
      <c r="Y131">
        <v>0</v>
      </c>
      <c r="Z131" t="s">
        <v>74</v>
      </c>
      <c r="AA131" t="s">
        <v>75</v>
      </c>
      <c r="AB131" t="s">
        <v>76</v>
      </c>
      <c r="AC131">
        <v>10</v>
      </c>
      <c r="AD131">
        <v>5800</v>
      </c>
      <c r="AE131">
        <f t="shared" si="18"/>
        <v>58000</v>
      </c>
      <c r="AF131">
        <f t="shared" si="19"/>
        <v>42764.789999999994</v>
      </c>
    </row>
    <row r="132" spans="1:32" x14ac:dyDescent="0.2">
      <c r="A132" t="s">
        <v>522</v>
      </c>
      <c r="B132" t="s">
        <v>133</v>
      </c>
      <c r="C132" s="2" t="s">
        <v>527</v>
      </c>
      <c r="D132" t="s">
        <v>523</v>
      </c>
      <c r="E132" t="s">
        <v>524</v>
      </c>
      <c r="F132" t="s">
        <v>525</v>
      </c>
      <c r="G132" t="s">
        <v>205</v>
      </c>
      <c r="H132" t="s">
        <v>206</v>
      </c>
      <c r="I132">
        <v>1</v>
      </c>
      <c r="J132">
        <v>0</v>
      </c>
      <c r="K132">
        <v>12500</v>
      </c>
      <c r="L132">
        <f t="shared" si="16"/>
        <v>0</v>
      </c>
      <c r="M132">
        <f t="shared" si="17"/>
        <v>12500</v>
      </c>
      <c r="N132">
        <v>0</v>
      </c>
      <c r="O132">
        <v>0</v>
      </c>
      <c r="P132">
        <v>0</v>
      </c>
      <c r="Q132">
        <v>62500</v>
      </c>
      <c r="R132" s="1" t="s">
        <v>526</v>
      </c>
      <c r="S132">
        <v>0</v>
      </c>
      <c r="T132">
        <v>0</v>
      </c>
      <c r="U132">
        <v>0</v>
      </c>
      <c r="V132">
        <v>0</v>
      </c>
      <c r="W132">
        <v>2000</v>
      </c>
      <c r="X132">
        <v>0</v>
      </c>
      <c r="Y132">
        <v>0</v>
      </c>
      <c r="Z132" t="s">
        <v>92</v>
      </c>
      <c r="AA132" t="s">
        <v>93</v>
      </c>
      <c r="AB132" t="s">
        <v>94</v>
      </c>
      <c r="AC132">
        <v>1</v>
      </c>
      <c r="AD132">
        <v>9500</v>
      </c>
      <c r="AE132">
        <f t="shared" si="18"/>
        <v>9500</v>
      </c>
      <c r="AF132">
        <f t="shared" si="19"/>
        <v>51000</v>
      </c>
    </row>
    <row r="133" spans="1:32" x14ac:dyDescent="0.2">
      <c r="A133" t="s">
        <v>528</v>
      </c>
      <c r="B133" t="s">
        <v>33</v>
      </c>
      <c r="C133" s="2" t="s">
        <v>519</v>
      </c>
      <c r="D133" t="s">
        <v>210</v>
      </c>
      <c r="E133" t="s">
        <v>211</v>
      </c>
      <c r="F133" t="s">
        <v>181</v>
      </c>
      <c r="G133" t="s">
        <v>205</v>
      </c>
      <c r="H133" t="s">
        <v>206</v>
      </c>
      <c r="I133">
        <v>9.6</v>
      </c>
      <c r="J133">
        <v>2000</v>
      </c>
      <c r="K133">
        <v>0</v>
      </c>
      <c r="L133">
        <f t="shared" si="16"/>
        <v>19200</v>
      </c>
      <c r="M133">
        <f t="shared" si="17"/>
        <v>0</v>
      </c>
      <c r="N133">
        <v>19197</v>
      </c>
      <c r="O133">
        <v>3</v>
      </c>
      <c r="P133">
        <v>125820.9774</v>
      </c>
      <c r="Q133">
        <v>0</v>
      </c>
      <c r="R133" s="1" t="s">
        <v>529</v>
      </c>
      <c r="S133">
        <v>0</v>
      </c>
      <c r="T133">
        <v>3210</v>
      </c>
      <c r="U133">
        <v>0</v>
      </c>
      <c r="V133">
        <v>0</v>
      </c>
      <c r="W133">
        <v>9123.4500000000007</v>
      </c>
      <c r="X133">
        <v>18</v>
      </c>
      <c r="Y133">
        <v>0</v>
      </c>
      <c r="Z133" t="s">
        <v>39</v>
      </c>
      <c r="AA133" t="s">
        <v>40</v>
      </c>
      <c r="AB133" t="s">
        <v>41</v>
      </c>
      <c r="AC133">
        <v>9.6</v>
      </c>
      <c r="AD133">
        <v>10500</v>
      </c>
      <c r="AE133">
        <f t="shared" si="18"/>
        <v>100800</v>
      </c>
      <c r="AF133">
        <f t="shared" si="19"/>
        <v>12669.527400000006</v>
      </c>
    </row>
    <row r="134" spans="1:32" x14ac:dyDescent="0.2">
      <c r="A134" t="s">
        <v>530</v>
      </c>
      <c r="B134" t="s">
        <v>33</v>
      </c>
      <c r="C134" s="2" t="s">
        <v>535</v>
      </c>
      <c r="D134" t="s">
        <v>531</v>
      </c>
      <c r="E134" t="s">
        <v>532</v>
      </c>
      <c r="F134" t="s">
        <v>533</v>
      </c>
      <c r="G134" t="s">
        <v>37</v>
      </c>
      <c r="H134" t="s">
        <v>38</v>
      </c>
      <c r="I134">
        <v>1</v>
      </c>
      <c r="J134">
        <v>2430</v>
      </c>
      <c r="K134">
        <v>0</v>
      </c>
      <c r="L134">
        <f t="shared" si="16"/>
        <v>2430</v>
      </c>
      <c r="M134">
        <f t="shared" si="17"/>
        <v>0</v>
      </c>
      <c r="N134">
        <v>2834.25</v>
      </c>
      <c r="O134">
        <v>60</v>
      </c>
      <c r="P134">
        <v>18840.68</v>
      </c>
      <c r="Q134">
        <v>0</v>
      </c>
      <c r="R134" s="1" t="s">
        <v>534</v>
      </c>
      <c r="S134">
        <v>0</v>
      </c>
      <c r="T134">
        <v>1400</v>
      </c>
      <c r="U134">
        <v>0</v>
      </c>
      <c r="V134">
        <v>0</v>
      </c>
      <c r="W134">
        <v>0</v>
      </c>
      <c r="X134">
        <v>0</v>
      </c>
      <c r="Y134">
        <v>544</v>
      </c>
      <c r="Z134" t="s">
        <v>39</v>
      </c>
      <c r="AA134" t="s">
        <v>40</v>
      </c>
      <c r="AB134" t="s">
        <v>41</v>
      </c>
      <c r="AC134">
        <v>1</v>
      </c>
      <c r="AD134">
        <v>13500</v>
      </c>
      <c r="AE134">
        <f t="shared" si="18"/>
        <v>13500</v>
      </c>
      <c r="AF134">
        <f t="shared" si="19"/>
        <v>3396.6800000000003</v>
      </c>
    </row>
    <row r="135" spans="1:32" x14ac:dyDescent="0.2">
      <c r="A135" t="s">
        <v>530</v>
      </c>
      <c r="B135" t="s">
        <v>33</v>
      </c>
      <c r="C135" s="2"/>
      <c r="D135" t="s">
        <v>531</v>
      </c>
      <c r="E135" t="s">
        <v>532</v>
      </c>
      <c r="F135" t="s">
        <v>533</v>
      </c>
      <c r="G135" t="s">
        <v>374</v>
      </c>
      <c r="H135" t="s">
        <v>91</v>
      </c>
      <c r="I135">
        <v>0.2</v>
      </c>
      <c r="J135">
        <v>8200</v>
      </c>
      <c r="K135">
        <v>0</v>
      </c>
      <c r="L135">
        <f t="shared" si="16"/>
        <v>1640</v>
      </c>
      <c r="M135">
        <f t="shared" si="17"/>
        <v>0</v>
      </c>
      <c r="N135">
        <v>6753.25</v>
      </c>
      <c r="O135">
        <v>0</v>
      </c>
      <c r="P135">
        <v>43695.553480000002</v>
      </c>
      <c r="Q135">
        <v>0</v>
      </c>
      <c r="R135" s="1" t="s">
        <v>538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536</v>
      </c>
      <c r="AA135" t="s">
        <v>537</v>
      </c>
      <c r="AB135" t="s">
        <v>58</v>
      </c>
      <c r="AC135">
        <v>0.2</v>
      </c>
      <c r="AD135">
        <v>53000</v>
      </c>
      <c r="AE135">
        <f t="shared" si="18"/>
        <v>10600</v>
      </c>
      <c r="AF135">
        <f t="shared" si="19"/>
        <v>33095.553480000002</v>
      </c>
    </row>
    <row r="136" spans="1:32" x14ac:dyDescent="0.2">
      <c r="A136" t="s">
        <v>530</v>
      </c>
      <c r="B136" t="s">
        <v>33</v>
      </c>
      <c r="D136" t="s">
        <v>531</v>
      </c>
      <c r="E136" t="s">
        <v>532</v>
      </c>
      <c r="F136" t="s">
        <v>533</v>
      </c>
      <c r="G136" t="s">
        <v>539</v>
      </c>
      <c r="H136" t="s">
        <v>540</v>
      </c>
      <c r="I136">
        <v>0.2</v>
      </c>
      <c r="J136">
        <v>5900</v>
      </c>
      <c r="K136">
        <v>0</v>
      </c>
      <c r="L136">
        <f t="shared" si="16"/>
        <v>1180</v>
      </c>
      <c r="M136">
        <f t="shared" si="17"/>
        <v>0</v>
      </c>
      <c r="N136">
        <v>0</v>
      </c>
      <c r="O136">
        <v>0</v>
      </c>
      <c r="P136">
        <v>0</v>
      </c>
      <c r="Q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536</v>
      </c>
      <c r="AA136" t="s">
        <v>537</v>
      </c>
      <c r="AB136" t="s">
        <v>58</v>
      </c>
      <c r="AC136">
        <v>0.2</v>
      </c>
      <c r="AD136">
        <v>38000</v>
      </c>
      <c r="AE136">
        <f t="shared" si="18"/>
        <v>7600</v>
      </c>
      <c r="AF136">
        <f t="shared" si="19"/>
        <v>-7600</v>
      </c>
    </row>
    <row r="137" spans="1:32" x14ac:dyDescent="0.2">
      <c r="A137" t="s">
        <v>530</v>
      </c>
      <c r="B137" t="s">
        <v>33</v>
      </c>
      <c r="D137" t="s">
        <v>531</v>
      </c>
      <c r="E137" t="s">
        <v>532</v>
      </c>
      <c r="F137" t="s">
        <v>533</v>
      </c>
      <c r="G137" t="s">
        <v>541</v>
      </c>
      <c r="H137" t="s">
        <v>542</v>
      </c>
      <c r="I137">
        <v>2.5000000000000001E-2</v>
      </c>
      <c r="J137">
        <v>51500</v>
      </c>
      <c r="K137">
        <v>0</v>
      </c>
      <c r="L137">
        <f t="shared" si="16"/>
        <v>1287.5</v>
      </c>
      <c r="M137">
        <f t="shared" si="17"/>
        <v>0</v>
      </c>
      <c r="N137">
        <v>0</v>
      </c>
      <c r="O137">
        <v>0</v>
      </c>
      <c r="P137">
        <v>0</v>
      </c>
      <c r="Q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536</v>
      </c>
      <c r="AA137" t="s">
        <v>537</v>
      </c>
      <c r="AB137" t="s">
        <v>58</v>
      </c>
      <c r="AC137">
        <v>2.5000000000000001E-2</v>
      </c>
      <c r="AD137">
        <v>340000</v>
      </c>
      <c r="AE137">
        <f t="shared" si="18"/>
        <v>8500</v>
      </c>
      <c r="AF137">
        <f t="shared" si="19"/>
        <v>-8500</v>
      </c>
    </row>
    <row r="138" spans="1:32" x14ac:dyDescent="0.2">
      <c r="A138" t="s">
        <v>543</v>
      </c>
      <c r="B138" t="s">
        <v>33</v>
      </c>
      <c r="C138" s="2" t="s">
        <v>547</v>
      </c>
      <c r="D138" t="s">
        <v>544</v>
      </c>
      <c r="E138" t="s">
        <v>545</v>
      </c>
      <c r="F138" t="s">
        <v>158</v>
      </c>
      <c r="G138" t="s">
        <v>182</v>
      </c>
      <c r="H138" t="s">
        <v>183</v>
      </c>
      <c r="I138">
        <v>5.4</v>
      </c>
      <c r="J138">
        <v>2920</v>
      </c>
      <c r="K138">
        <v>0</v>
      </c>
      <c r="L138">
        <f t="shared" si="16"/>
        <v>15768.000000000002</v>
      </c>
      <c r="M138">
        <f t="shared" si="17"/>
        <v>0</v>
      </c>
      <c r="N138">
        <v>28900</v>
      </c>
      <c r="O138">
        <v>0</v>
      </c>
      <c r="P138">
        <v>193814.96</v>
      </c>
      <c r="Q138">
        <v>0</v>
      </c>
      <c r="R138" s="1" t="s">
        <v>546</v>
      </c>
      <c r="S138">
        <v>33198.5</v>
      </c>
      <c r="T138">
        <v>6095</v>
      </c>
      <c r="U138">
        <v>213.7</v>
      </c>
      <c r="V138">
        <v>0</v>
      </c>
      <c r="W138">
        <v>1676.6</v>
      </c>
      <c r="X138">
        <v>13</v>
      </c>
      <c r="Y138">
        <v>0</v>
      </c>
      <c r="Z138" t="s">
        <v>114</v>
      </c>
      <c r="AA138" t="s">
        <v>115</v>
      </c>
      <c r="AB138" t="s">
        <v>116</v>
      </c>
      <c r="AC138">
        <v>5.4</v>
      </c>
      <c r="AD138">
        <v>12300</v>
      </c>
      <c r="AE138">
        <f t="shared" si="18"/>
        <v>66420</v>
      </c>
      <c r="AF138">
        <f t="shared" si="19"/>
        <v>86198.159999999974</v>
      </c>
    </row>
    <row r="139" spans="1:32" x14ac:dyDescent="0.2">
      <c r="A139" t="s">
        <v>543</v>
      </c>
      <c r="B139" t="s">
        <v>33</v>
      </c>
      <c r="D139" t="s">
        <v>544</v>
      </c>
      <c r="E139" t="s">
        <v>545</v>
      </c>
      <c r="F139" t="s">
        <v>158</v>
      </c>
      <c r="G139" t="s">
        <v>84</v>
      </c>
      <c r="H139" t="s">
        <v>85</v>
      </c>
      <c r="I139">
        <v>9.8000000000000007</v>
      </c>
      <c r="J139">
        <v>1340</v>
      </c>
      <c r="K139">
        <v>0</v>
      </c>
      <c r="L139">
        <f t="shared" si="16"/>
        <v>13132.000000000002</v>
      </c>
      <c r="M139">
        <f t="shared" si="17"/>
        <v>0</v>
      </c>
      <c r="N139">
        <v>0</v>
      </c>
      <c r="O139">
        <v>0</v>
      </c>
      <c r="P139">
        <v>0</v>
      </c>
      <c r="Q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18</v>
      </c>
      <c r="Y139">
        <v>0</v>
      </c>
      <c r="Z139" t="s">
        <v>74</v>
      </c>
      <c r="AA139" t="s">
        <v>75</v>
      </c>
      <c r="AB139" t="s">
        <v>76</v>
      </c>
      <c r="AC139">
        <v>9.8000000000000007</v>
      </c>
      <c r="AD139">
        <v>5950</v>
      </c>
      <c r="AE139">
        <f t="shared" si="18"/>
        <v>58310.000000000007</v>
      </c>
      <c r="AF139">
        <f t="shared" si="19"/>
        <v>-58328.000000000007</v>
      </c>
    </row>
    <row r="140" spans="1:32" x14ac:dyDescent="0.2">
      <c r="A140" t="s">
        <v>548</v>
      </c>
      <c r="B140" t="s">
        <v>133</v>
      </c>
      <c r="C140" s="2" t="s">
        <v>547</v>
      </c>
      <c r="D140" t="s">
        <v>179</v>
      </c>
      <c r="E140" t="s">
        <v>180</v>
      </c>
      <c r="F140" t="s">
        <v>181</v>
      </c>
      <c r="G140" t="s">
        <v>137</v>
      </c>
      <c r="H140" t="s">
        <v>138</v>
      </c>
      <c r="I140">
        <v>0.01</v>
      </c>
      <c r="J140">
        <v>0</v>
      </c>
      <c r="K140">
        <v>110000</v>
      </c>
      <c r="L140">
        <f t="shared" si="16"/>
        <v>0</v>
      </c>
      <c r="M140">
        <f t="shared" si="17"/>
        <v>1100</v>
      </c>
      <c r="N140">
        <v>0</v>
      </c>
      <c r="O140">
        <v>0</v>
      </c>
      <c r="P140">
        <v>0</v>
      </c>
      <c r="Q140">
        <v>1100</v>
      </c>
      <c r="R140" s="1" t="s">
        <v>549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18</v>
      </c>
      <c r="Y140">
        <v>0</v>
      </c>
      <c r="Z140" t="s">
        <v>39</v>
      </c>
      <c r="AA140" t="s">
        <v>40</v>
      </c>
      <c r="AB140" t="s">
        <v>41</v>
      </c>
      <c r="AC140">
        <v>0.01</v>
      </c>
      <c r="AD140">
        <v>85000</v>
      </c>
      <c r="AE140">
        <f t="shared" si="18"/>
        <v>850</v>
      </c>
      <c r="AF140">
        <f t="shared" si="19"/>
        <v>232</v>
      </c>
    </row>
    <row r="141" spans="1:32" x14ac:dyDescent="0.2">
      <c r="A141" t="s">
        <v>550</v>
      </c>
      <c r="B141" t="s">
        <v>33</v>
      </c>
      <c r="C141" s="2" t="s">
        <v>538</v>
      </c>
      <c r="D141" t="s">
        <v>215</v>
      </c>
      <c r="E141" t="s">
        <v>216</v>
      </c>
      <c r="F141" t="s">
        <v>217</v>
      </c>
      <c r="G141" t="s">
        <v>90</v>
      </c>
      <c r="H141" t="s">
        <v>91</v>
      </c>
      <c r="I141">
        <v>9.6</v>
      </c>
      <c r="J141">
        <v>2310</v>
      </c>
      <c r="K141">
        <v>0</v>
      </c>
      <c r="L141">
        <f t="shared" si="16"/>
        <v>22176</v>
      </c>
      <c r="M141">
        <f t="shared" si="17"/>
        <v>0</v>
      </c>
      <c r="N141">
        <v>22123</v>
      </c>
      <c r="O141">
        <v>53</v>
      </c>
      <c r="P141">
        <v>143578.26999999999</v>
      </c>
      <c r="Q141">
        <v>0</v>
      </c>
      <c r="R141" s="1" t="s">
        <v>551</v>
      </c>
      <c r="S141">
        <v>18711</v>
      </c>
      <c r="T141">
        <v>3625</v>
      </c>
      <c r="U141">
        <v>160.4</v>
      </c>
      <c r="V141">
        <v>0</v>
      </c>
      <c r="W141">
        <v>0</v>
      </c>
      <c r="X141">
        <v>475</v>
      </c>
      <c r="Y141">
        <v>0</v>
      </c>
      <c r="Z141" t="s">
        <v>39</v>
      </c>
      <c r="AA141" t="s">
        <v>40</v>
      </c>
      <c r="AB141" t="s">
        <v>41</v>
      </c>
      <c r="AC141">
        <v>9.6</v>
      </c>
      <c r="AD141">
        <v>11200</v>
      </c>
      <c r="AE141">
        <f t="shared" si="18"/>
        <v>107520</v>
      </c>
      <c r="AF141">
        <f t="shared" si="19"/>
        <v>13086.869999999995</v>
      </c>
    </row>
    <row r="142" spans="1:32" x14ac:dyDescent="0.2">
      <c r="A142" t="s">
        <v>552</v>
      </c>
      <c r="B142" t="s">
        <v>133</v>
      </c>
      <c r="C142" s="2" t="s">
        <v>557</v>
      </c>
      <c r="D142" t="s">
        <v>553</v>
      </c>
      <c r="E142" t="s">
        <v>554</v>
      </c>
      <c r="F142" t="s">
        <v>555</v>
      </c>
      <c r="G142" t="s">
        <v>137</v>
      </c>
      <c r="H142" t="s">
        <v>138</v>
      </c>
      <c r="I142">
        <v>2</v>
      </c>
      <c r="J142">
        <v>0</v>
      </c>
      <c r="K142">
        <v>14600</v>
      </c>
      <c r="L142">
        <f t="shared" si="16"/>
        <v>0</v>
      </c>
      <c r="M142">
        <f t="shared" si="17"/>
        <v>29200</v>
      </c>
      <c r="N142">
        <v>0</v>
      </c>
      <c r="O142">
        <v>0</v>
      </c>
      <c r="P142">
        <v>0</v>
      </c>
      <c r="Q142">
        <v>29200</v>
      </c>
      <c r="R142" s="1" t="s">
        <v>556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39</v>
      </c>
      <c r="AA142" t="s">
        <v>40</v>
      </c>
      <c r="AB142" t="s">
        <v>41</v>
      </c>
      <c r="AC142">
        <v>2</v>
      </c>
      <c r="AD142">
        <v>12800</v>
      </c>
      <c r="AE142">
        <f t="shared" si="18"/>
        <v>25600</v>
      </c>
      <c r="AF142">
        <f t="shared" si="19"/>
        <v>3600</v>
      </c>
    </row>
    <row r="143" spans="1:32" x14ac:dyDescent="0.2">
      <c r="A143" t="s">
        <v>558</v>
      </c>
      <c r="B143" t="s">
        <v>33</v>
      </c>
      <c r="C143" s="2" t="s">
        <v>546</v>
      </c>
      <c r="D143" t="s">
        <v>87</v>
      </c>
      <c r="E143" t="s">
        <v>88</v>
      </c>
      <c r="F143" t="s">
        <v>89</v>
      </c>
      <c r="G143" t="s">
        <v>90</v>
      </c>
      <c r="H143" t="s">
        <v>91</v>
      </c>
      <c r="I143">
        <v>8</v>
      </c>
      <c r="J143">
        <v>2150</v>
      </c>
      <c r="K143">
        <v>0</v>
      </c>
      <c r="L143">
        <f t="shared" si="16"/>
        <v>17200</v>
      </c>
      <c r="M143">
        <f t="shared" si="17"/>
        <v>0</v>
      </c>
      <c r="N143">
        <v>17154</v>
      </c>
      <c r="O143">
        <v>46</v>
      </c>
      <c r="P143">
        <v>112489.07</v>
      </c>
      <c r="Q143">
        <v>0</v>
      </c>
      <c r="R143" s="1" t="s">
        <v>559</v>
      </c>
      <c r="S143">
        <v>3657.5</v>
      </c>
      <c r="T143">
        <v>2435</v>
      </c>
      <c r="U143">
        <v>127.2</v>
      </c>
      <c r="V143">
        <v>0</v>
      </c>
      <c r="W143">
        <v>0</v>
      </c>
      <c r="X143">
        <v>0</v>
      </c>
      <c r="Y143">
        <v>0</v>
      </c>
      <c r="Z143" t="s">
        <v>92</v>
      </c>
      <c r="AA143" t="s">
        <v>93</v>
      </c>
      <c r="AB143" t="s">
        <v>94</v>
      </c>
      <c r="AC143">
        <v>8</v>
      </c>
      <c r="AD143">
        <v>10000</v>
      </c>
      <c r="AE143">
        <f t="shared" si="18"/>
        <v>80000</v>
      </c>
      <c r="AF143">
        <f t="shared" si="19"/>
        <v>26269.37000000001</v>
      </c>
    </row>
    <row r="144" spans="1:32" x14ac:dyDescent="0.2">
      <c r="A144" t="s">
        <v>560</v>
      </c>
      <c r="B144" t="s">
        <v>33</v>
      </c>
      <c r="C144" s="2" t="s">
        <v>546</v>
      </c>
      <c r="D144" t="s">
        <v>69</v>
      </c>
      <c r="E144" t="s">
        <v>70</v>
      </c>
      <c r="F144" t="s">
        <v>71</v>
      </c>
      <c r="G144" t="s">
        <v>72</v>
      </c>
      <c r="H144" t="s">
        <v>73</v>
      </c>
      <c r="I144">
        <v>19.8</v>
      </c>
      <c r="J144">
        <v>1145</v>
      </c>
      <c r="K144">
        <v>0</v>
      </c>
      <c r="L144">
        <f t="shared" si="16"/>
        <v>22671</v>
      </c>
      <c r="M144">
        <f t="shared" si="17"/>
        <v>0</v>
      </c>
      <c r="N144">
        <v>22671</v>
      </c>
      <c r="O144">
        <v>0</v>
      </c>
      <c r="P144">
        <v>145885.62</v>
      </c>
      <c r="Q144">
        <v>0</v>
      </c>
      <c r="R144" s="1" t="s">
        <v>561</v>
      </c>
      <c r="S144">
        <v>-1803.5</v>
      </c>
      <c r="T144">
        <v>2926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74</v>
      </c>
      <c r="AA144" t="s">
        <v>75</v>
      </c>
      <c r="AB144" t="s">
        <v>76</v>
      </c>
      <c r="AC144">
        <v>19.8</v>
      </c>
      <c r="AD144">
        <v>7200</v>
      </c>
      <c r="AE144">
        <f t="shared" si="18"/>
        <v>142560</v>
      </c>
      <c r="AF144">
        <f t="shared" si="19"/>
        <v>2203.1199999999953</v>
      </c>
    </row>
    <row r="145" spans="1:32" x14ac:dyDescent="0.2">
      <c r="A145" t="s">
        <v>562</v>
      </c>
      <c r="B145" t="s">
        <v>33</v>
      </c>
      <c r="C145" s="2" t="s">
        <v>549</v>
      </c>
      <c r="D145" t="s">
        <v>150</v>
      </c>
      <c r="E145" t="s">
        <v>151</v>
      </c>
      <c r="F145" t="s">
        <v>152</v>
      </c>
      <c r="G145" t="s">
        <v>72</v>
      </c>
      <c r="H145" t="s">
        <v>73</v>
      </c>
      <c r="I145">
        <v>50.4</v>
      </c>
      <c r="J145">
        <v>995</v>
      </c>
      <c r="K145">
        <v>0</v>
      </c>
      <c r="L145">
        <f t="shared" si="16"/>
        <v>50148</v>
      </c>
      <c r="M145">
        <f t="shared" si="17"/>
        <v>0</v>
      </c>
      <c r="N145">
        <v>50145</v>
      </c>
      <c r="O145">
        <v>3</v>
      </c>
      <c r="P145">
        <v>329106.65000000002</v>
      </c>
      <c r="Q145">
        <v>0</v>
      </c>
      <c r="R145" s="1" t="s">
        <v>563</v>
      </c>
      <c r="S145">
        <v>19175</v>
      </c>
      <c r="T145">
        <v>5648</v>
      </c>
      <c r="U145">
        <v>400.7</v>
      </c>
      <c r="V145">
        <v>13600</v>
      </c>
      <c r="W145">
        <v>0</v>
      </c>
      <c r="X145">
        <v>144</v>
      </c>
      <c r="Y145">
        <v>0</v>
      </c>
      <c r="Z145" t="s">
        <v>49</v>
      </c>
      <c r="AA145" t="s">
        <v>50</v>
      </c>
      <c r="AB145" t="s">
        <v>51</v>
      </c>
      <c r="AC145">
        <v>50.4</v>
      </c>
      <c r="AD145">
        <v>5393</v>
      </c>
      <c r="AE145">
        <f t="shared" si="18"/>
        <v>271807.2</v>
      </c>
      <c r="AF145">
        <f t="shared" si="19"/>
        <v>18331.75</v>
      </c>
    </row>
    <row r="146" spans="1:32" x14ac:dyDescent="0.2">
      <c r="A146" t="s">
        <v>564</v>
      </c>
      <c r="B146" t="s">
        <v>33</v>
      </c>
      <c r="C146" s="2" t="s">
        <v>566</v>
      </c>
      <c r="D146" t="s">
        <v>104</v>
      </c>
      <c r="E146" t="s">
        <v>105</v>
      </c>
      <c r="F146" t="s">
        <v>106</v>
      </c>
      <c r="G146" t="s">
        <v>90</v>
      </c>
      <c r="H146" t="s">
        <v>91</v>
      </c>
      <c r="I146">
        <v>9.6</v>
      </c>
      <c r="J146">
        <v>2100</v>
      </c>
      <c r="K146">
        <v>0</v>
      </c>
      <c r="L146">
        <f t="shared" si="16"/>
        <v>20160</v>
      </c>
      <c r="M146">
        <f t="shared" si="17"/>
        <v>0</v>
      </c>
      <c r="N146">
        <v>20160</v>
      </c>
      <c r="O146">
        <v>0</v>
      </c>
      <c r="P146">
        <v>131951.23000000001</v>
      </c>
      <c r="Q146">
        <v>0</v>
      </c>
      <c r="R146" s="1" t="s">
        <v>565</v>
      </c>
      <c r="S146">
        <v>23878.87</v>
      </c>
      <c r="T146">
        <v>2891</v>
      </c>
      <c r="U146">
        <v>200.7</v>
      </c>
      <c r="V146">
        <v>0</v>
      </c>
      <c r="W146">
        <v>160</v>
      </c>
      <c r="X146">
        <v>225</v>
      </c>
      <c r="Y146">
        <v>0</v>
      </c>
      <c r="Z146" t="s">
        <v>114</v>
      </c>
      <c r="AA146" t="s">
        <v>115</v>
      </c>
      <c r="AB146" t="s">
        <v>116</v>
      </c>
      <c r="AC146">
        <v>9.6</v>
      </c>
      <c r="AD146">
        <v>13800</v>
      </c>
      <c r="AE146">
        <f t="shared" si="18"/>
        <v>132480</v>
      </c>
      <c r="AF146">
        <f t="shared" si="19"/>
        <v>-27884.339999999982</v>
      </c>
    </row>
    <row r="147" spans="1:32" x14ac:dyDescent="0.2">
      <c r="A147" t="s">
        <v>567</v>
      </c>
      <c r="B147" t="s">
        <v>33</v>
      </c>
      <c r="C147" s="2" t="s">
        <v>569</v>
      </c>
      <c r="D147" t="s">
        <v>104</v>
      </c>
      <c r="E147" t="s">
        <v>105</v>
      </c>
      <c r="F147" t="s">
        <v>106</v>
      </c>
      <c r="G147" t="s">
        <v>90</v>
      </c>
      <c r="H147" t="s">
        <v>91</v>
      </c>
      <c r="I147">
        <v>9.6</v>
      </c>
      <c r="J147">
        <v>2600</v>
      </c>
      <c r="K147">
        <v>0</v>
      </c>
      <c r="L147">
        <f t="shared" si="16"/>
        <v>24960</v>
      </c>
      <c r="M147">
        <f t="shared" si="17"/>
        <v>0</v>
      </c>
      <c r="N147">
        <v>24960</v>
      </c>
      <c r="O147">
        <v>0</v>
      </c>
      <c r="P147">
        <v>163368.19</v>
      </c>
      <c r="Q147">
        <v>0</v>
      </c>
      <c r="R147" s="1" t="s">
        <v>568</v>
      </c>
      <c r="S147">
        <v>108070.71</v>
      </c>
      <c r="T147">
        <v>5370</v>
      </c>
      <c r="U147">
        <v>413.5</v>
      </c>
      <c r="V147">
        <v>0</v>
      </c>
      <c r="W147">
        <v>300</v>
      </c>
      <c r="X147">
        <v>39</v>
      </c>
      <c r="Y147">
        <v>0</v>
      </c>
      <c r="Z147" t="s">
        <v>114</v>
      </c>
      <c r="AA147" t="s">
        <v>115</v>
      </c>
      <c r="AB147" t="s">
        <v>116</v>
      </c>
      <c r="AC147">
        <v>9.6</v>
      </c>
      <c r="AD147">
        <v>13800</v>
      </c>
      <c r="AE147">
        <f t="shared" si="18"/>
        <v>132480</v>
      </c>
      <c r="AF147">
        <f t="shared" si="19"/>
        <v>-83305.02</v>
      </c>
    </row>
    <row r="148" spans="1:32" x14ac:dyDescent="0.2">
      <c r="A148" t="s">
        <v>570</v>
      </c>
      <c r="B148" t="s">
        <v>33</v>
      </c>
      <c r="C148" s="2" t="s">
        <v>563</v>
      </c>
      <c r="D148" t="s">
        <v>104</v>
      </c>
      <c r="E148" t="s">
        <v>105</v>
      </c>
      <c r="F148" t="s">
        <v>106</v>
      </c>
      <c r="G148" t="s">
        <v>90</v>
      </c>
      <c r="H148" t="s">
        <v>91</v>
      </c>
      <c r="I148">
        <v>9.6</v>
      </c>
      <c r="J148">
        <v>2600</v>
      </c>
      <c r="K148">
        <v>0</v>
      </c>
      <c r="L148">
        <f t="shared" si="16"/>
        <v>24960</v>
      </c>
      <c r="M148">
        <f t="shared" si="17"/>
        <v>0</v>
      </c>
      <c r="N148">
        <v>24960</v>
      </c>
      <c r="O148">
        <v>0</v>
      </c>
      <c r="P148">
        <v>163368.19</v>
      </c>
      <c r="Q148">
        <v>0</v>
      </c>
      <c r="R148" s="1" t="s">
        <v>571</v>
      </c>
      <c r="S148">
        <v>0</v>
      </c>
      <c r="T148">
        <v>0</v>
      </c>
      <c r="U148">
        <v>44.58</v>
      </c>
      <c r="V148">
        <v>0</v>
      </c>
      <c r="W148">
        <v>140</v>
      </c>
      <c r="X148">
        <v>238</v>
      </c>
      <c r="Y148">
        <v>0</v>
      </c>
      <c r="Z148" t="s">
        <v>114</v>
      </c>
      <c r="AA148" t="s">
        <v>115</v>
      </c>
      <c r="AB148" t="s">
        <v>116</v>
      </c>
      <c r="AC148">
        <v>9.6</v>
      </c>
      <c r="AD148">
        <v>13800</v>
      </c>
      <c r="AE148">
        <f t="shared" si="18"/>
        <v>132480</v>
      </c>
      <c r="AF148">
        <f t="shared" si="19"/>
        <v>30465.610000000015</v>
      </c>
    </row>
    <row r="149" spans="1:32" x14ac:dyDescent="0.2">
      <c r="A149" t="s">
        <v>572</v>
      </c>
      <c r="B149" t="s">
        <v>33</v>
      </c>
      <c r="C149" s="2" t="s">
        <v>574</v>
      </c>
      <c r="D149" t="s">
        <v>266</v>
      </c>
      <c r="E149" t="s">
        <v>267</v>
      </c>
      <c r="F149" t="s">
        <v>268</v>
      </c>
      <c r="G149" t="s">
        <v>84</v>
      </c>
      <c r="H149" t="s">
        <v>85</v>
      </c>
      <c r="I149">
        <v>25.2</v>
      </c>
      <c r="J149">
        <v>1060</v>
      </c>
      <c r="K149">
        <v>0</v>
      </c>
      <c r="L149">
        <f t="shared" si="16"/>
        <v>26712</v>
      </c>
      <c r="M149">
        <f t="shared" si="17"/>
        <v>0</v>
      </c>
      <c r="N149">
        <v>26692</v>
      </c>
      <c r="O149">
        <v>20</v>
      </c>
      <c r="P149">
        <v>176701.04</v>
      </c>
      <c r="Q149">
        <v>0</v>
      </c>
      <c r="R149" s="1" t="s">
        <v>573</v>
      </c>
      <c r="S149">
        <v>-1803.5</v>
      </c>
      <c r="T149">
        <v>2926</v>
      </c>
      <c r="U149">
        <v>197.53</v>
      </c>
      <c r="V149">
        <v>0</v>
      </c>
      <c r="W149">
        <v>0</v>
      </c>
      <c r="X149">
        <v>0</v>
      </c>
      <c r="Y149">
        <v>0</v>
      </c>
      <c r="Z149" t="s">
        <v>74</v>
      </c>
      <c r="AA149" t="s">
        <v>75</v>
      </c>
      <c r="AB149" t="s">
        <v>76</v>
      </c>
      <c r="AC149">
        <v>25.2</v>
      </c>
      <c r="AD149">
        <v>6700</v>
      </c>
      <c r="AE149">
        <f t="shared" si="18"/>
        <v>168840</v>
      </c>
      <c r="AF149">
        <f t="shared" si="19"/>
        <v>6541.0100000000093</v>
      </c>
    </row>
    <row r="150" spans="1:32" x14ac:dyDescent="0.2">
      <c r="A150" t="s">
        <v>575</v>
      </c>
      <c r="B150" t="s">
        <v>133</v>
      </c>
      <c r="C150" s="2" t="s">
        <v>577</v>
      </c>
      <c r="D150" t="s">
        <v>284</v>
      </c>
      <c r="E150" t="s">
        <v>285</v>
      </c>
      <c r="F150" t="s">
        <v>181</v>
      </c>
      <c r="G150" t="s">
        <v>227</v>
      </c>
      <c r="H150" t="s">
        <v>228</v>
      </c>
      <c r="I150">
        <v>0.3</v>
      </c>
      <c r="J150">
        <v>0</v>
      </c>
      <c r="K150">
        <v>25500</v>
      </c>
      <c r="L150">
        <f t="shared" si="16"/>
        <v>0</v>
      </c>
      <c r="M150">
        <f t="shared" si="17"/>
        <v>7650</v>
      </c>
      <c r="N150">
        <v>0</v>
      </c>
      <c r="O150">
        <v>0</v>
      </c>
      <c r="P150">
        <v>0</v>
      </c>
      <c r="Q150">
        <v>7650</v>
      </c>
      <c r="R150" s="1" t="s">
        <v>576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18</v>
      </c>
      <c r="Y150">
        <v>0</v>
      </c>
      <c r="Z150" t="s">
        <v>114</v>
      </c>
      <c r="AA150" t="s">
        <v>115</v>
      </c>
      <c r="AB150" t="s">
        <v>116</v>
      </c>
      <c r="AC150">
        <v>0.3</v>
      </c>
      <c r="AD150">
        <v>13800</v>
      </c>
      <c r="AE150">
        <f t="shared" si="18"/>
        <v>4140</v>
      </c>
      <c r="AF150">
        <f t="shared" si="19"/>
        <v>3492</v>
      </c>
    </row>
    <row r="151" spans="1:32" x14ac:dyDescent="0.2">
      <c r="A151" t="s">
        <v>578</v>
      </c>
      <c r="B151" t="s">
        <v>133</v>
      </c>
      <c r="C151" s="2" t="s">
        <v>565</v>
      </c>
      <c r="D151" t="s">
        <v>179</v>
      </c>
      <c r="E151" t="s">
        <v>180</v>
      </c>
      <c r="F151" t="s">
        <v>181</v>
      </c>
      <c r="G151" t="s">
        <v>182</v>
      </c>
      <c r="H151" t="s">
        <v>183</v>
      </c>
      <c r="I151">
        <v>1</v>
      </c>
      <c r="J151">
        <v>0</v>
      </c>
      <c r="K151">
        <v>23500</v>
      </c>
      <c r="L151">
        <f t="shared" si="16"/>
        <v>0</v>
      </c>
      <c r="M151">
        <f t="shared" si="17"/>
        <v>23500</v>
      </c>
      <c r="N151">
        <v>0</v>
      </c>
      <c r="O151">
        <v>0</v>
      </c>
      <c r="P151">
        <v>0</v>
      </c>
      <c r="Q151">
        <v>23500</v>
      </c>
      <c r="R151" s="1" t="s">
        <v>579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18</v>
      </c>
      <c r="Y151">
        <v>0</v>
      </c>
      <c r="Z151" t="s">
        <v>114</v>
      </c>
      <c r="AA151" t="s">
        <v>115</v>
      </c>
      <c r="AB151" t="s">
        <v>116</v>
      </c>
      <c r="AC151">
        <v>1</v>
      </c>
      <c r="AD151">
        <v>12800</v>
      </c>
      <c r="AE151">
        <f t="shared" si="18"/>
        <v>12800</v>
      </c>
      <c r="AF151">
        <f t="shared" si="19"/>
        <v>10682</v>
      </c>
    </row>
    <row r="152" spans="1:32" x14ac:dyDescent="0.2">
      <c r="A152" t="s">
        <v>580</v>
      </c>
      <c r="B152" t="s">
        <v>33</v>
      </c>
      <c r="C152" s="2" t="s">
        <v>571</v>
      </c>
      <c r="D152" t="s">
        <v>397</v>
      </c>
      <c r="E152" t="s">
        <v>398</v>
      </c>
      <c r="F152" t="s">
        <v>399</v>
      </c>
      <c r="G152" t="s">
        <v>137</v>
      </c>
      <c r="H152" t="s">
        <v>138</v>
      </c>
      <c r="I152">
        <v>1.76</v>
      </c>
      <c r="J152">
        <v>15500</v>
      </c>
      <c r="K152">
        <v>0</v>
      </c>
      <c r="L152">
        <f t="shared" si="16"/>
        <v>27280</v>
      </c>
      <c r="M152">
        <f t="shared" si="17"/>
        <v>0</v>
      </c>
      <c r="N152">
        <v>27198</v>
      </c>
      <c r="O152">
        <v>82</v>
      </c>
      <c r="P152">
        <v>175652.84</v>
      </c>
      <c r="Q152">
        <v>0</v>
      </c>
      <c r="R152" s="1" t="s">
        <v>581</v>
      </c>
      <c r="S152">
        <v>0</v>
      </c>
      <c r="T152">
        <v>1748.75</v>
      </c>
      <c r="U152">
        <v>0</v>
      </c>
      <c r="V152">
        <v>0</v>
      </c>
      <c r="W152">
        <v>0</v>
      </c>
      <c r="X152">
        <v>18</v>
      </c>
      <c r="Y152">
        <v>0</v>
      </c>
      <c r="Z152" t="s">
        <v>39</v>
      </c>
      <c r="AA152" t="s">
        <v>40</v>
      </c>
      <c r="AB152" t="s">
        <v>41</v>
      </c>
      <c r="AC152">
        <v>1.76</v>
      </c>
      <c r="AD152">
        <v>85000</v>
      </c>
      <c r="AE152">
        <f t="shared" si="18"/>
        <v>149600</v>
      </c>
      <c r="AF152">
        <f t="shared" si="19"/>
        <v>24286.089999999997</v>
      </c>
    </row>
    <row r="153" spans="1:32" x14ac:dyDescent="0.2">
      <c r="A153" t="s">
        <v>582</v>
      </c>
      <c r="B153" t="s">
        <v>33</v>
      </c>
      <c r="C153" s="2" t="s">
        <v>584</v>
      </c>
      <c r="D153" t="s">
        <v>343</v>
      </c>
      <c r="E153" t="s">
        <v>344</v>
      </c>
      <c r="F153" t="s">
        <v>345</v>
      </c>
      <c r="G153" t="s">
        <v>137</v>
      </c>
      <c r="H153" t="s">
        <v>138</v>
      </c>
      <c r="I153">
        <v>0.24</v>
      </c>
      <c r="J153">
        <v>16880</v>
      </c>
      <c r="K153">
        <v>0</v>
      </c>
      <c r="L153">
        <f t="shared" si="16"/>
        <v>4051.2</v>
      </c>
      <c r="M153">
        <f t="shared" si="17"/>
        <v>0</v>
      </c>
      <c r="N153">
        <v>4041.2</v>
      </c>
      <c r="O153">
        <v>10</v>
      </c>
      <c r="P153">
        <v>26065.74</v>
      </c>
      <c r="Q153">
        <v>0</v>
      </c>
      <c r="R153" s="1" t="s">
        <v>583</v>
      </c>
      <c r="S153">
        <v>-77.22</v>
      </c>
      <c r="T153">
        <v>290</v>
      </c>
      <c r="U153">
        <v>0</v>
      </c>
      <c r="V153">
        <v>0</v>
      </c>
      <c r="W153">
        <v>65</v>
      </c>
      <c r="X153">
        <v>0</v>
      </c>
      <c r="Y153">
        <v>544</v>
      </c>
      <c r="Z153" t="s">
        <v>39</v>
      </c>
      <c r="AA153" t="s">
        <v>40</v>
      </c>
      <c r="AB153" t="s">
        <v>41</v>
      </c>
      <c r="AC153">
        <v>0.24</v>
      </c>
      <c r="AD153">
        <v>85000</v>
      </c>
      <c r="AE153">
        <f t="shared" si="18"/>
        <v>20400</v>
      </c>
      <c r="AF153">
        <f t="shared" si="19"/>
        <v>4843.9600000000028</v>
      </c>
    </row>
    <row r="154" spans="1:32" x14ac:dyDescent="0.2">
      <c r="A154" t="s">
        <v>585</v>
      </c>
      <c r="B154" t="s">
        <v>133</v>
      </c>
      <c r="C154" s="2" t="s">
        <v>587</v>
      </c>
      <c r="D154" t="s">
        <v>371</v>
      </c>
      <c r="E154" t="s">
        <v>372</v>
      </c>
      <c r="F154" t="s">
        <v>373</v>
      </c>
      <c r="G154" t="s">
        <v>374</v>
      </c>
      <c r="H154" t="s">
        <v>91</v>
      </c>
      <c r="I154">
        <v>14.4</v>
      </c>
      <c r="J154">
        <v>0</v>
      </c>
      <c r="K154">
        <v>9200</v>
      </c>
      <c r="L154">
        <f t="shared" si="16"/>
        <v>0</v>
      </c>
      <c r="M154">
        <f t="shared" si="17"/>
        <v>132480</v>
      </c>
      <c r="N154">
        <v>0</v>
      </c>
      <c r="O154">
        <v>0</v>
      </c>
      <c r="P154">
        <v>0</v>
      </c>
      <c r="Q154">
        <v>132510</v>
      </c>
      <c r="R154" s="1" t="s">
        <v>586</v>
      </c>
      <c r="S154">
        <v>0</v>
      </c>
      <c r="T154">
        <v>0</v>
      </c>
      <c r="U154">
        <v>0</v>
      </c>
      <c r="V154">
        <v>8261</v>
      </c>
      <c r="W154">
        <v>32400</v>
      </c>
      <c r="X154">
        <v>0</v>
      </c>
      <c r="Y154">
        <v>0</v>
      </c>
      <c r="Z154" t="s">
        <v>453</v>
      </c>
      <c r="AA154" t="s">
        <v>454</v>
      </c>
      <c r="AB154" t="s">
        <v>455</v>
      </c>
      <c r="AC154">
        <v>14.4</v>
      </c>
      <c r="AD154">
        <v>4600</v>
      </c>
      <c r="AE154">
        <f t="shared" si="18"/>
        <v>66240</v>
      </c>
      <c r="AF154">
        <f t="shared" si="19"/>
        <v>25609</v>
      </c>
    </row>
    <row r="155" spans="1:32" x14ac:dyDescent="0.2">
      <c r="A155" t="s">
        <v>588</v>
      </c>
      <c r="B155" t="s">
        <v>33</v>
      </c>
      <c r="C155" s="2" t="s">
        <v>590</v>
      </c>
      <c r="D155" t="s">
        <v>80</v>
      </c>
      <c r="E155" t="s">
        <v>81</v>
      </c>
      <c r="F155" t="s">
        <v>82</v>
      </c>
      <c r="G155" t="s">
        <v>72</v>
      </c>
      <c r="H155" t="s">
        <v>73</v>
      </c>
      <c r="I155">
        <v>19.8</v>
      </c>
      <c r="J155">
        <v>1190</v>
      </c>
      <c r="K155">
        <v>0</v>
      </c>
      <c r="L155">
        <f t="shared" si="16"/>
        <v>23562</v>
      </c>
      <c r="M155">
        <f t="shared" si="17"/>
        <v>0</v>
      </c>
      <c r="N155">
        <v>23544</v>
      </c>
      <c r="O155">
        <v>18</v>
      </c>
      <c r="P155">
        <v>153900.06</v>
      </c>
      <c r="Q155">
        <v>0</v>
      </c>
      <c r="R155" s="1" t="s">
        <v>589</v>
      </c>
      <c r="S155">
        <v>2080</v>
      </c>
      <c r="T155">
        <v>3724</v>
      </c>
      <c r="U155">
        <v>174.27</v>
      </c>
      <c r="V155">
        <v>0</v>
      </c>
      <c r="W155">
        <v>0</v>
      </c>
      <c r="X155">
        <v>0</v>
      </c>
      <c r="Y155">
        <v>0</v>
      </c>
      <c r="Z155" t="s">
        <v>74</v>
      </c>
      <c r="AA155" t="s">
        <v>75</v>
      </c>
      <c r="AB155" t="s">
        <v>76</v>
      </c>
      <c r="AC155">
        <v>19.8</v>
      </c>
      <c r="AD155">
        <v>7200</v>
      </c>
      <c r="AE155">
        <f t="shared" si="18"/>
        <v>142560</v>
      </c>
      <c r="AF155">
        <f t="shared" si="19"/>
        <v>5361.7900000000081</v>
      </c>
    </row>
    <row r="156" spans="1:32" x14ac:dyDescent="0.2">
      <c r="A156" t="s">
        <v>591</v>
      </c>
      <c r="B156" t="s">
        <v>33</v>
      </c>
      <c r="C156" s="2" t="s">
        <v>593</v>
      </c>
      <c r="D156" t="s">
        <v>448</v>
      </c>
      <c r="E156" t="s">
        <v>449</v>
      </c>
      <c r="F156" t="s">
        <v>450</v>
      </c>
      <c r="G156" t="s">
        <v>234</v>
      </c>
      <c r="H156" t="s">
        <v>228</v>
      </c>
      <c r="I156">
        <v>4.8</v>
      </c>
      <c r="J156">
        <v>2482</v>
      </c>
      <c r="K156">
        <v>0</v>
      </c>
      <c r="L156">
        <f t="shared" si="16"/>
        <v>11913.6</v>
      </c>
      <c r="M156">
        <f t="shared" si="17"/>
        <v>0</v>
      </c>
      <c r="N156">
        <v>18891.400000000001</v>
      </c>
      <c r="O156">
        <v>35</v>
      </c>
      <c r="P156">
        <v>123579.98</v>
      </c>
      <c r="Q156">
        <v>0</v>
      </c>
      <c r="R156" s="1" t="s">
        <v>592</v>
      </c>
      <c r="S156">
        <v>25356.5</v>
      </c>
      <c r="T156">
        <v>3770</v>
      </c>
      <c r="U156">
        <v>136.96</v>
      </c>
      <c r="V156">
        <v>2450</v>
      </c>
      <c r="W156">
        <v>840</v>
      </c>
      <c r="X156">
        <v>0</v>
      </c>
      <c r="Y156">
        <v>0</v>
      </c>
      <c r="Z156" t="s">
        <v>498</v>
      </c>
      <c r="AA156" t="s">
        <v>499</v>
      </c>
      <c r="AB156" t="s">
        <v>130</v>
      </c>
      <c r="AC156">
        <v>4.8</v>
      </c>
      <c r="AD156">
        <v>7625</v>
      </c>
      <c r="AE156">
        <f t="shared" si="18"/>
        <v>36600</v>
      </c>
      <c r="AF156">
        <f t="shared" si="19"/>
        <v>54426.51999999999</v>
      </c>
    </row>
    <row r="157" spans="1:32" x14ac:dyDescent="0.2">
      <c r="A157" t="s">
        <v>594</v>
      </c>
      <c r="B157" t="s">
        <v>133</v>
      </c>
      <c r="C157" s="2" t="s">
        <v>579</v>
      </c>
      <c r="D157" t="s">
        <v>284</v>
      </c>
      <c r="E157" t="s">
        <v>285</v>
      </c>
      <c r="F157" t="s">
        <v>181</v>
      </c>
      <c r="G157" t="s">
        <v>227</v>
      </c>
      <c r="H157" t="s">
        <v>228</v>
      </c>
      <c r="I157">
        <v>0.3</v>
      </c>
      <c r="J157">
        <v>0</v>
      </c>
      <c r="K157">
        <v>25500</v>
      </c>
      <c r="L157">
        <f t="shared" si="16"/>
        <v>0</v>
      </c>
      <c r="M157">
        <f t="shared" si="17"/>
        <v>7650</v>
      </c>
      <c r="N157">
        <v>0</v>
      </c>
      <c r="O157">
        <v>0</v>
      </c>
      <c r="P157">
        <v>0</v>
      </c>
      <c r="Q157">
        <v>7650</v>
      </c>
      <c r="R157" s="1" t="s">
        <v>595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13</v>
      </c>
      <c r="Y157">
        <v>0</v>
      </c>
      <c r="Z157" t="s">
        <v>114</v>
      </c>
      <c r="AA157" t="s">
        <v>115</v>
      </c>
      <c r="AB157" t="s">
        <v>116</v>
      </c>
      <c r="AC157">
        <v>0.3</v>
      </c>
      <c r="AD157">
        <v>13800</v>
      </c>
      <c r="AE157">
        <f t="shared" si="18"/>
        <v>4140</v>
      </c>
      <c r="AF157">
        <f t="shared" si="19"/>
        <v>3497</v>
      </c>
    </row>
    <row r="158" spans="1:32" x14ac:dyDescent="0.2">
      <c r="A158" t="s">
        <v>596</v>
      </c>
      <c r="B158" t="s">
        <v>33</v>
      </c>
      <c r="C158" s="2" t="s">
        <v>583</v>
      </c>
      <c r="D158" t="s">
        <v>80</v>
      </c>
      <c r="E158" t="s">
        <v>81</v>
      </c>
      <c r="F158" t="s">
        <v>82</v>
      </c>
      <c r="G158" t="s">
        <v>72</v>
      </c>
      <c r="H158" t="s">
        <v>73</v>
      </c>
      <c r="I158">
        <v>19.8</v>
      </c>
      <c r="J158">
        <v>1070</v>
      </c>
      <c r="K158">
        <v>0</v>
      </c>
      <c r="L158">
        <f t="shared" si="16"/>
        <v>21186</v>
      </c>
      <c r="M158">
        <f t="shared" si="17"/>
        <v>0</v>
      </c>
      <c r="N158">
        <v>21168</v>
      </c>
      <c r="O158">
        <v>18</v>
      </c>
      <c r="P158">
        <v>138015.35999999999</v>
      </c>
      <c r="Q158">
        <v>0</v>
      </c>
      <c r="R158" s="1" t="s">
        <v>597</v>
      </c>
      <c r="S158">
        <v>1950</v>
      </c>
      <c r="T158">
        <v>3924</v>
      </c>
      <c r="U158">
        <v>153.34</v>
      </c>
      <c r="V158">
        <v>5346</v>
      </c>
      <c r="W158">
        <v>0</v>
      </c>
      <c r="X158">
        <v>0</v>
      </c>
      <c r="Y158">
        <v>0</v>
      </c>
      <c r="Z158" t="s">
        <v>49</v>
      </c>
      <c r="AA158" t="s">
        <v>50</v>
      </c>
      <c r="AB158" t="s">
        <v>51</v>
      </c>
      <c r="AC158">
        <v>19.8</v>
      </c>
      <c r="AD158">
        <v>6000</v>
      </c>
      <c r="AE158">
        <f t="shared" si="18"/>
        <v>118800</v>
      </c>
      <c r="AF158">
        <f t="shared" si="19"/>
        <v>7842.0199999999895</v>
      </c>
    </row>
    <row r="159" spans="1:32" x14ac:dyDescent="0.2">
      <c r="A159" t="s">
        <v>598</v>
      </c>
      <c r="B159" t="s">
        <v>133</v>
      </c>
      <c r="C159" s="2" t="s">
        <v>592</v>
      </c>
      <c r="D159" t="s">
        <v>134</v>
      </c>
      <c r="E159" t="s">
        <v>135</v>
      </c>
      <c r="F159" t="s">
        <v>136</v>
      </c>
      <c r="G159" t="s">
        <v>182</v>
      </c>
      <c r="H159" t="s">
        <v>183</v>
      </c>
      <c r="I159">
        <v>1</v>
      </c>
      <c r="J159">
        <v>0</v>
      </c>
      <c r="K159">
        <v>16350</v>
      </c>
      <c r="L159">
        <f t="shared" si="16"/>
        <v>0</v>
      </c>
      <c r="M159">
        <f t="shared" si="17"/>
        <v>16350</v>
      </c>
      <c r="N159">
        <v>0</v>
      </c>
      <c r="O159">
        <v>0</v>
      </c>
      <c r="P159">
        <v>0</v>
      </c>
      <c r="Q159">
        <v>95850</v>
      </c>
      <c r="R159" s="1" t="s">
        <v>599</v>
      </c>
      <c r="S159">
        <v>0</v>
      </c>
      <c r="T159">
        <v>0</v>
      </c>
      <c r="U159">
        <v>0</v>
      </c>
      <c r="V159">
        <v>0</v>
      </c>
      <c r="W159">
        <v>4000</v>
      </c>
      <c r="X159">
        <v>18</v>
      </c>
      <c r="Y159">
        <v>0</v>
      </c>
      <c r="Z159" t="s">
        <v>92</v>
      </c>
      <c r="AA159" t="s">
        <v>93</v>
      </c>
      <c r="AB159" t="s">
        <v>94</v>
      </c>
      <c r="AC159">
        <v>1</v>
      </c>
      <c r="AD159">
        <v>9500</v>
      </c>
      <c r="AE159">
        <f t="shared" si="18"/>
        <v>9500</v>
      </c>
      <c r="AF159">
        <f t="shared" si="19"/>
        <v>82332</v>
      </c>
    </row>
    <row r="160" spans="1:32" x14ac:dyDescent="0.2">
      <c r="A160" t="s">
        <v>598</v>
      </c>
      <c r="B160" t="s">
        <v>133</v>
      </c>
      <c r="D160" t="s">
        <v>134</v>
      </c>
      <c r="E160" t="s">
        <v>135</v>
      </c>
      <c r="F160" t="s">
        <v>136</v>
      </c>
      <c r="G160" t="s">
        <v>141</v>
      </c>
      <c r="H160" t="s">
        <v>91</v>
      </c>
      <c r="I160">
        <v>3</v>
      </c>
      <c r="J160">
        <v>0</v>
      </c>
      <c r="K160">
        <v>26500</v>
      </c>
      <c r="L160">
        <f t="shared" si="16"/>
        <v>0</v>
      </c>
      <c r="M160">
        <f t="shared" si="17"/>
        <v>79500</v>
      </c>
      <c r="N160">
        <v>0</v>
      </c>
      <c r="O160">
        <v>0</v>
      </c>
      <c r="P160">
        <v>0</v>
      </c>
      <c r="Q160">
        <v>0</v>
      </c>
      <c r="S160">
        <v>0</v>
      </c>
      <c r="T160">
        <v>0</v>
      </c>
      <c r="U160">
        <v>0</v>
      </c>
      <c r="V160">
        <v>4556</v>
      </c>
      <c r="W160">
        <v>0</v>
      </c>
      <c r="X160">
        <v>0</v>
      </c>
      <c r="Y160">
        <v>0</v>
      </c>
      <c r="Z160" t="s">
        <v>107</v>
      </c>
      <c r="AA160" t="s">
        <v>108</v>
      </c>
      <c r="AB160" t="s">
        <v>76</v>
      </c>
      <c r="AC160">
        <v>3</v>
      </c>
      <c r="AD160">
        <v>15200</v>
      </c>
      <c r="AE160">
        <f t="shared" si="18"/>
        <v>45600</v>
      </c>
      <c r="AF160">
        <f t="shared" si="19"/>
        <v>-50156</v>
      </c>
    </row>
    <row r="161" spans="1:32" x14ac:dyDescent="0.2">
      <c r="A161" t="s">
        <v>600</v>
      </c>
      <c r="B161" t="s">
        <v>33</v>
      </c>
      <c r="C161" s="2" t="s">
        <v>589</v>
      </c>
      <c r="D161" t="s">
        <v>104</v>
      </c>
      <c r="E161" t="s">
        <v>105</v>
      </c>
      <c r="F161" t="s">
        <v>106</v>
      </c>
      <c r="G161" t="s">
        <v>37</v>
      </c>
      <c r="H161" t="s">
        <v>38</v>
      </c>
      <c r="I161">
        <v>6</v>
      </c>
      <c r="J161">
        <v>2550</v>
      </c>
      <c r="K161">
        <v>0</v>
      </c>
      <c r="L161">
        <f t="shared" si="16"/>
        <v>15300</v>
      </c>
      <c r="M161">
        <f t="shared" si="17"/>
        <v>0</v>
      </c>
      <c r="N161">
        <v>15297</v>
      </c>
      <c r="O161">
        <v>3</v>
      </c>
      <c r="P161">
        <v>100244.30039999999</v>
      </c>
      <c r="Q161">
        <v>0</v>
      </c>
      <c r="R161" s="1" t="s">
        <v>601</v>
      </c>
      <c r="S161">
        <v>34942.86</v>
      </c>
      <c r="T161">
        <v>2486</v>
      </c>
      <c r="U161">
        <v>0</v>
      </c>
      <c r="V161">
        <v>0</v>
      </c>
      <c r="W161">
        <v>6026</v>
      </c>
      <c r="X161">
        <v>18</v>
      </c>
      <c r="Y161">
        <v>0</v>
      </c>
      <c r="Z161" t="s">
        <v>92</v>
      </c>
      <c r="AA161" t="s">
        <v>93</v>
      </c>
      <c r="AB161" t="s">
        <v>94</v>
      </c>
      <c r="AC161">
        <v>6</v>
      </c>
      <c r="AD161">
        <v>12450</v>
      </c>
      <c r="AE161">
        <f t="shared" si="18"/>
        <v>74700</v>
      </c>
      <c r="AF161">
        <f t="shared" si="19"/>
        <v>-17928.559600000008</v>
      </c>
    </row>
    <row r="162" spans="1:32" x14ac:dyDescent="0.2">
      <c r="A162" t="s">
        <v>602</v>
      </c>
      <c r="B162" t="s">
        <v>33</v>
      </c>
      <c r="C162" s="2" t="s">
        <v>595</v>
      </c>
      <c r="D162" t="s">
        <v>161</v>
      </c>
      <c r="E162" t="s">
        <v>162</v>
      </c>
      <c r="F162" t="s">
        <v>163</v>
      </c>
      <c r="G162" t="s">
        <v>72</v>
      </c>
      <c r="H162" t="s">
        <v>73</v>
      </c>
      <c r="I162">
        <v>6</v>
      </c>
      <c r="J162">
        <v>1300</v>
      </c>
      <c r="K162">
        <v>0</v>
      </c>
      <c r="L162">
        <f t="shared" ref="L162:L173" si="20">I162*J162</f>
        <v>7800</v>
      </c>
      <c r="M162">
        <f t="shared" ref="M162:M173" si="21">I162*K162</f>
        <v>0</v>
      </c>
      <c r="N162">
        <v>7743</v>
      </c>
      <c r="O162">
        <v>57</v>
      </c>
      <c r="P162">
        <v>49998.87</v>
      </c>
      <c r="Q162">
        <v>0</v>
      </c>
      <c r="R162" s="1" t="s">
        <v>603</v>
      </c>
      <c r="S162">
        <v>1104.94</v>
      </c>
      <c r="T162">
        <v>3683.78</v>
      </c>
      <c r="U162">
        <v>100.65</v>
      </c>
      <c r="V162">
        <v>0</v>
      </c>
      <c r="W162">
        <v>0</v>
      </c>
      <c r="X162">
        <v>36</v>
      </c>
      <c r="Y162">
        <v>252</v>
      </c>
      <c r="Z162" t="s">
        <v>74</v>
      </c>
      <c r="AA162" t="s">
        <v>75</v>
      </c>
      <c r="AB162" t="s">
        <v>76</v>
      </c>
      <c r="AC162">
        <v>6</v>
      </c>
      <c r="AD162">
        <v>7200</v>
      </c>
      <c r="AE162">
        <f t="shared" ref="AE162:AE193" si="22">AC162*AD162</f>
        <v>43200</v>
      </c>
      <c r="AF162">
        <f t="shared" ref="AF162:AF173" si="23">P162+Q162-S162-T162-U162-V162-W162-X162-Y162-AE162</f>
        <v>1621.5</v>
      </c>
    </row>
    <row r="163" spans="1:32" x14ac:dyDescent="0.2">
      <c r="A163" t="s">
        <v>604</v>
      </c>
      <c r="B163" t="s">
        <v>33</v>
      </c>
      <c r="C163" s="2" t="s">
        <v>606</v>
      </c>
      <c r="D163" t="s">
        <v>150</v>
      </c>
      <c r="E163" t="s">
        <v>151</v>
      </c>
      <c r="F163" t="s">
        <v>152</v>
      </c>
      <c r="G163" t="s">
        <v>72</v>
      </c>
      <c r="H163" t="s">
        <v>73</v>
      </c>
      <c r="I163">
        <v>50.4</v>
      </c>
      <c r="J163">
        <v>1292</v>
      </c>
      <c r="K163">
        <v>0</v>
      </c>
      <c r="L163">
        <f t="shared" si="20"/>
        <v>65116.799999999996</v>
      </c>
      <c r="M163">
        <f t="shared" si="21"/>
        <v>0</v>
      </c>
      <c r="N163">
        <v>65047.8</v>
      </c>
      <c r="O163">
        <v>69</v>
      </c>
      <c r="P163">
        <v>424111.65600000002</v>
      </c>
      <c r="Q163">
        <v>0</v>
      </c>
      <c r="R163" s="1" t="s">
        <v>605</v>
      </c>
      <c r="S163">
        <v>0</v>
      </c>
      <c r="T163">
        <v>5270</v>
      </c>
      <c r="U163">
        <v>471.2</v>
      </c>
      <c r="V163">
        <v>13500</v>
      </c>
      <c r="W163">
        <v>350</v>
      </c>
      <c r="X163">
        <v>144</v>
      </c>
      <c r="Y163">
        <v>0</v>
      </c>
      <c r="Z163" t="s">
        <v>49</v>
      </c>
      <c r="AA163" t="s">
        <v>50</v>
      </c>
      <c r="AB163" t="s">
        <v>51</v>
      </c>
      <c r="AC163">
        <v>50.4</v>
      </c>
      <c r="AD163">
        <v>7000</v>
      </c>
      <c r="AE163">
        <f t="shared" si="22"/>
        <v>352800</v>
      </c>
      <c r="AF163">
        <f t="shared" si="23"/>
        <v>51576.456000000006</v>
      </c>
    </row>
    <row r="164" spans="1:32" x14ac:dyDescent="0.2">
      <c r="A164" t="s">
        <v>607</v>
      </c>
      <c r="B164" t="s">
        <v>33</v>
      </c>
      <c r="C164" s="2" t="s">
        <v>601</v>
      </c>
      <c r="D164" t="s">
        <v>608</v>
      </c>
      <c r="E164" t="s">
        <v>609</v>
      </c>
      <c r="F164" t="s">
        <v>610</v>
      </c>
      <c r="G164" t="s">
        <v>84</v>
      </c>
      <c r="H164" t="s">
        <v>85</v>
      </c>
      <c r="I164">
        <v>25.2</v>
      </c>
      <c r="J164">
        <v>1185</v>
      </c>
      <c r="K164">
        <v>0</v>
      </c>
      <c r="L164">
        <f t="shared" si="20"/>
        <v>29862</v>
      </c>
      <c r="M164">
        <f t="shared" si="21"/>
        <v>0</v>
      </c>
      <c r="N164">
        <v>29718</v>
      </c>
      <c r="O164">
        <v>144</v>
      </c>
      <c r="P164">
        <v>194318.92</v>
      </c>
      <c r="Q164">
        <v>0</v>
      </c>
      <c r="R164" s="1" t="s">
        <v>611</v>
      </c>
      <c r="S164">
        <v>12032</v>
      </c>
      <c r="T164">
        <v>3419</v>
      </c>
      <c r="U164">
        <v>216.09</v>
      </c>
      <c r="V164">
        <v>0</v>
      </c>
      <c r="W164">
        <v>0</v>
      </c>
      <c r="X164">
        <v>0</v>
      </c>
      <c r="Y164">
        <v>0</v>
      </c>
      <c r="Z164" t="s">
        <v>74</v>
      </c>
      <c r="AA164" t="s">
        <v>75</v>
      </c>
      <c r="AB164" t="s">
        <v>76</v>
      </c>
      <c r="AC164">
        <v>25.2</v>
      </c>
      <c r="AD164">
        <v>6500</v>
      </c>
      <c r="AE164">
        <f t="shared" si="22"/>
        <v>163800</v>
      </c>
      <c r="AF164">
        <f t="shared" si="23"/>
        <v>14851.830000000016</v>
      </c>
    </row>
    <row r="165" spans="1:32" x14ac:dyDescent="0.2">
      <c r="A165" t="s">
        <v>612</v>
      </c>
      <c r="B165" t="s">
        <v>33</v>
      </c>
      <c r="C165" s="2" t="s">
        <v>614</v>
      </c>
      <c r="D165" t="s">
        <v>104</v>
      </c>
      <c r="E165" t="s">
        <v>105</v>
      </c>
      <c r="F165" t="s">
        <v>106</v>
      </c>
      <c r="G165" t="s">
        <v>90</v>
      </c>
      <c r="H165" t="s">
        <v>91</v>
      </c>
      <c r="I165">
        <v>9.6</v>
      </c>
      <c r="J165">
        <v>2600</v>
      </c>
      <c r="K165">
        <v>0</v>
      </c>
      <c r="L165">
        <f t="shared" si="20"/>
        <v>24960</v>
      </c>
      <c r="M165">
        <f t="shared" si="21"/>
        <v>0</v>
      </c>
      <c r="N165">
        <v>24957</v>
      </c>
      <c r="O165">
        <v>3</v>
      </c>
      <c r="P165">
        <v>163348.56</v>
      </c>
      <c r="Q165">
        <v>0</v>
      </c>
      <c r="R165" s="1" t="s">
        <v>613</v>
      </c>
      <c r="S165">
        <v>52474.5</v>
      </c>
      <c r="T165">
        <v>3749</v>
      </c>
      <c r="U165">
        <v>198.9</v>
      </c>
      <c r="V165">
        <v>0</v>
      </c>
      <c r="W165">
        <v>140</v>
      </c>
      <c r="X165">
        <v>67</v>
      </c>
      <c r="Y165">
        <v>0</v>
      </c>
      <c r="Z165" t="s">
        <v>114</v>
      </c>
      <c r="AA165" t="s">
        <v>115</v>
      </c>
      <c r="AB165" t="s">
        <v>116</v>
      </c>
      <c r="AC165">
        <v>9.6</v>
      </c>
      <c r="AD165">
        <v>13800</v>
      </c>
      <c r="AE165">
        <f t="shared" si="22"/>
        <v>132480</v>
      </c>
      <c r="AF165">
        <f t="shared" si="23"/>
        <v>-25760.839999999997</v>
      </c>
    </row>
    <row r="166" spans="1:32" x14ac:dyDescent="0.2">
      <c r="A166" t="s">
        <v>615</v>
      </c>
      <c r="B166" t="s">
        <v>133</v>
      </c>
      <c r="C166" s="2" t="s">
        <v>603</v>
      </c>
      <c r="D166" t="s">
        <v>134</v>
      </c>
      <c r="E166" t="s">
        <v>135</v>
      </c>
      <c r="F166" t="s">
        <v>136</v>
      </c>
      <c r="G166" t="s">
        <v>182</v>
      </c>
      <c r="H166" t="s">
        <v>183</v>
      </c>
      <c r="I166">
        <v>1</v>
      </c>
      <c r="J166">
        <v>0</v>
      </c>
      <c r="K166">
        <v>16850</v>
      </c>
      <c r="L166">
        <f t="shared" si="20"/>
        <v>0</v>
      </c>
      <c r="M166">
        <f t="shared" si="21"/>
        <v>16850</v>
      </c>
      <c r="N166">
        <v>0</v>
      </c>
      <c r="O166">
        <v>0</v>
      </c>
      <c r="P166">
        <v>0</v>
      </c>
      <c r="Q166">
        <v>43350</v>
      </c>
      <c r="R166" s="1" t="s">
        <v>616</v>
      </c>
      <c r="S166">
        <v>0</v>
      </c>
      <c r="T166">
        <v>0</v>
      </c>
      <c r="U166">
        <v>0</v>
      </c>
      <c r="V166">
        <v>0</v>
      </c>
      <c r="W166">
        <v>2000</v>
      </c>
      <c r="X166">
        <v>13</v>
      </c>
      <c r="Y166">
        <v>0</v>
      </c>
      <c r="Z166" t="s">
        <v>92</v>
      </c>
      <c r="AA166" t="s">
        <v>93</v>
      </c>
      <c r="AB166" t="s">
        <v>94</v>
      </c>
      <c r="AC166">
        <v>1</v>
      </c>
      <c r="AD166">
        <v>10000</v>
      </c>
      <c r="AE166">
        <f t="shared" si="22"/>
        <v>10000</v>
      </c>
      <c r="AF166">
        <f t="shared" si="23"/>
        <v>31337</v>
      </c>
    </row>
    <row r="167" spans="1:32" x14ac:dyDescent="0.2">
      <c r="A167" t="s">
        <v>615</v>
      </c>
      <c r="B167" t="s">
        <v>133</v>
      </c>
      <c r="D167" t="s">
        <v>134</v>
      </c>
      <c r="E167" t="s">
        <v>135</v>
      </c>
      <c r="F167" t="s">
        <v>136</v>
      </c>
      <c r="G167" t="s">
        <v>141</v>
      </c>
      <c r="H167" t="s">
        <v>91</v>
      </c>
      <c r="I167">
        <v>1</v>
      </c>
      <c r="J167">
        <v>0</v>
      </c>
      <c r="K167">
        <v>26500</v>
      </c>
      <c r="L167">
        <f t="shared" si="20"/>
        <v>0</v>
      </c>
      <c r="M167">
        <f t="shared" si="21"/>
        <v>26500</v>
      </c>
      <c r="N167">
        <v>0</v>
      </c>
      <c r="O167">
        <v>0</v>
      </c>
      <c r="P167">
        <v>0</v>
      </c>
      <c r="Q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114</v>
      </c>
      <c r="AA167" t="s">
        <v>115</v>
      </c>
      <c r="AB167" t="s">
        <v>116</v>
      </c>
      <c r="AC167">
        <v>1</v>
      </c>
      <c r="AD167">
        <v>16000</v>
      </c>
      <c r="AE167">
        <f t="shared" si="22"/>
        <v>16000</v>
      </c>
      <c r="AF167">
        <f t="shared" si="23"/>
        <v>-16000</v>
      </c>
    </row>
    <row r="168" spans="1:32" x14ac:dyDescent="0.2">
      <c r="A168" t="s">
        <v>617</v>
      </c>
      <c r="B168" t="s">
        <v>33</v>
      </c>
      <c r="C168" s="2" t="s">
        <v>622</v>
      </c>
      <c r="D168" t="s">
        <v>618</v>
      </c>
      <c r="E168" t="s">
        <v>619</v>
      </c>
      <c r="F168" t="s">
        <v>620</v>
      </c>
      <c r="G168" t="s">
        <v>143</v>
      </c>
      <c r="H168" t="s">
        <v>48</v>
      </c>
      <c r="I168">
        <v>24</v>
      </c>
      <c r="J168">
        <v>1296</v>
      </c>
      <c r="K168">
        <v>0</v>
      </c>
      <c r="L168">
        <f t="shared" si="20"/>
        <v>31104</v>
      </c>
      <c r="M168">
        <f t="shared" si="21"/>
        <v>0</v>
      </c>
      <c r="N168">
        <v>31045</v>
      </c>
      <c r="O168">
        <v>59</v>
      </c>
      <c r="P168">
        <v>202708.36</v>
      </c>
      <c r="Q168">
        <v>0</v>
      </c>
      <c r="R168" s="1" t="s">
        <v>621</v>
      </c>
      <c r="S168">
        <v>9706.35</v>
      </c>
      <c r="T168">
        <v>4401</v>
      </c>
      <c r="U168">
        <v>225.04</v>
      </c>
      <c r="V168">
        <v>0</v>
      </c>
      <c r="W168">
        <v>0</v>
      </c>
      <c r="X168">
        <v>152</v>
      </c>
      <c r="Y168">
        <v>0</v>
      </c>
      <c r="Z168" t="s">
        <v>144</v>
      </c>
      <c r="AA168" t="s">
        <v>145</v>
      </c>
      <c r="AB168" t="s">
        <v>146</v>
      </c>
      <c r="AC168">
        <v>24</v>
      </c>
      <c r="AD168">
        <v>7450</v>
      </c>
      <c r="AE168">
        <f t="shared" si="22"/>
        <v>178800</v>
      </c>
      <c r="AF168">
        <f t="shared" si="23"/>
        <v>9423.9699999999721</v>
      </c>
    </row>
    <row r="169" spans="1:32" x14ac:dyDescent="0.2">
      <c r="A169" t="s">
        <v>623</v>
      </c>
      <c r="B169" t="s">
        <v>33</v>
      </c>
      <c r="C169" s="2" t="s">
        <v>622</v>
      </c>
      <c r="D169" t="s">
        <v>69</v>
      </c>
      <c r="E169" t="s">
        <v>70</v>
      </c>
      <c r="F169" t="s">
        <v>71</v>
      </c>
      <c r="G169" t="s">
        <v>72</v>
      </c>
      <c r="H169" t="s">
        <v>73</v>
      </c>
      <c r="I169">
        <v>19.8</v>
      </c>
      <c r="J169">
        <v>1350</v>
      </c>
      <c r="K169">
        <v>0</v>
      </c>
      <c r="L169">
        <f t="shared" si="20"/>
        <v>26730</v>
      </c>
      <c r="M169">
        <f t="shared" si="21"/>
        <v>0</v>
      </c>
      <c r="N169">
        <v>26712</v>
      </c>
      <c r="O169">
        <v>18</v>
      </c>
      <c r="P169">
        <v>171889.05</v>
      </c>
      <c r="Q169">
        <v>0</v>
      </c>
      <c r="R169" s="1" t="s">
        <v>624</v>
      </c>
      <c r="S169">
        <v>0</v>
      </c>
      <c r="T169">
        <v>3420</v>
      </c>
      <c r="U169">
        <v>0</v>
      </c>
      <c r="V169">
        <v>3182.85</v>
      </c>
      <c r="W169">
        <v>100</v>
      </c>
      <c r="X169">
        <v>15</v>
      </c>
      <c r="Y169">
        <v>0</v>
      </c>
      <c r="Z169" t="s">
        <v>74</v>
      </c>
      <c r="AA169" t="s">
        <v>75</v>
      </c>
      <c r="AB169" t="s">
        <v>76</v>
      </c>
      <c r="AC169">
        <v>19.8</v>
      </c>
      <c r="AD169">
        <v>7200</v>
      </c>
      <c r="AE169">
        <f t="shared" si="22"/>
        <v>142560</v>
      </c>
      <c r="AF169">
        <f t="shared" si="23"/>
        <v>22611.199999999983</v>
      </c>
    </row>
    <row r="170" spans="1:32" x14ac:dyDescent="0.2">
      <c r="A170" t="s">
        <v>625</v>
      </c>
      <c r="B170" t="s">
        <v>33</v>
      </c>
      <c r="C170" s="2" t="s">
        <v>613</v>
      </c>
      <c r="D170" t="s">
        <v>448</v>
      </c>
      <c r="E170" t="s">
        <v>449</v>
      </c>
      <c r="F170" t="s">
        <v>450</v>
      </c>
      <c r="G170" t="s">
        <v>234</v>
      </c>
      <c r="H170" t="s">
        <v>228</v>
      </c>
      <c r="I170">
        <v>1.2</v>
      </c>
      <c r="J170">
        <v>3273</v>
      </c>
      <c r="K170">
        <v>0</v>
      </c>
      <c r="L170">
        <f t="shared" si="20"/>
        <v>3927.6</v>
      </c>
      <c r="M170">
        <f t="shared" si="21"/>
        <v>0</v>
      </c>
      <c r="N170">
        <v>40636.6</v>
      </c>
      <c r="O170">
        <v>35</v>
      </c>
      <c r="P170">
        <v>265202.58</v>
      </c>
      <c r="Q170">
        <v>0</v>
      </c>
      <c r="R170" s="1" t="s">
        <v>626</v>
      </c>
      <c r="S170">
        <v>72862.33</v>
      </c>
      <c r="T170">
        <v>3301</v>
      </c>
      <c r="U170">
        <v>291.92</v>
      </c>
      <c r="V170">
        <v>1800</v>
      </c>
      <c r="W170">
        <v>0</v>
      </c>
      <c r="X170">
        <v>0</v>
      </c>
      <c r="Y170">
        <v>0</v>
      </c>
      <c r="Z170" t="s">
        <v>92</v>
      </c>
      <c r="AA170" t="s">
        <v>93</v>
      </c>
      <c r="AB170" t="s">
        <v>94</v>
      </c>
      <c r="AC170">
        <v>1.2</v>
      </c>
      <c r="AD170">
        <v>12700</v>
      </c>
      <c r="AE170">
        <f t="shared" si="22"/>
        <v>15240</v>
      </c>
      <c r="AF170">
        <f t="shared" si="23"/>
        <v>171707.33</v>
      </c>
    </row>
    <row r="171" spans="1:32" x14ac:dyDescent="0.2">
      <c r="A171" t="s">
        <v>627</v>
      </c>
      <c r="B171" t="s">
        <v>133</v>
      </c>
      <c r="C171" s="2" t="s">
        <v>629</v>
      </c>
      <c r="D171" t="s">
        <v>378</v>
      </c>
      <c r="E171" t="s">
        <v>379</v>
      </c>
      <c r="F171" t="s">
        <v>380</v>
      </c>
      <c r="G171" t="s">
        <v>182</v>
      </c>
      <c r="H171" t="s">
        <v>183</v>
      </c>
      <c r="I171">
        <v>1</v>
      </c>
      <c r="J171">
        <v>0</v>
      </c>
      <c r="K171">
        <v>18500</v>
      </c>
      <c r="L171">
        <f t="shared" si="20"/>
        <v>0</v>
      </c>
      <c r="M171">
        <f t="shared" si="21"/>
        <v>18500</v>
      </c>
      <c r="N171">
        <v>0</v>
      </c>
      <c r="O171">
        <v>0</v>
      </c>
      <c r="P171">
        <v>0</v>
      </c>
      <c r="Q171">
        <v>18500</v>
      </c>
      <c r="R171" s="1" t="s">
        <v>628</v>
      </c>
      <c r="S171">
        <v>0</v>
      </c>
      <c r="T171">
        <v>0</v>
      </c>
      <c r="U171">
        <v>0</v>
      </c>
      <c r="V171">
        <v>1500</v>
      </c>
      <c r="W171">
        <v>18</v>
      </c>
      <c r="X171">
        <v>13</v>
      </c>
      <c r="Y171">
        <v>0</v>
      </c>
      <c r="Z171" t="s">
        <v>381</v>
      </c>
      <c r="AA171" t="s">
        <v>382</v>
      </c>
      <c r="AB171" t="s">
        <v>383</v>
      </c>
      <c r="AC171">
        <v>1</v>
      </c>
      <c r="AD171">
        <v>13650</v>
      </c>
      <c r="AE171">
        <f t="shared" si="22"/>
        <v>13650</v>
      </c>
      <c r="AF171">
        <f t="shared" si="23"/>
        <v>3319</v>
      </c>
    </row>
    <row r="172" spans="1:32" x14ac:dyDescent="0.2">
      <c r="A172" t="s">
        <v>630</v>
      </c>
      <c r="B172" t="s">
        <v>33</v>
      </c>
      <c r="C172" s="2" t="s">
        <v>621</v>
      </c>
      <c r="D172" t="s">
        <v>631</v>
      </c>
      <c r="E172" t="s">
        <v>632</v>
      </c>
      <c r="F172" t="s">
        <v>633</v>
      </c>
      <c r="G172" t="s">
        <v>227</v>
      </c>
      <c r="H172" t="s">
        <v>228</v>
      </c>
      <c r="I172">
        <v>9.6</v>
      </c>
      <c r="J172">
        <v>3870</v>
      </c>
      <c r="K172">
        <v>0</v>
      </c>
      <c r="L172">
        <f t="shared" si="20"/>
        <v>37152</v>
      </c>
      <c r="M172">
        <f t="shared" si="21"/>
        <v>0</v>
      </c>
      <c r="N172">
        <v>36431</v>
      </c>
      <c r="O172">
        <v>721</v>
      </c>
      <c r="P172">
        <v>231336.85</v>
      </c>
      <c r="Q172">
        <v>0</v>
      </c>
      <c r="R172" s="1" t="s">
        <v>634</v>
      </c>
      <c r="S172">
        <v>52032.5</v>
      </c>
      <c r="T172">
        <v>3404</v>
      </c>
      <c r="U172">
        <v>254.48</v>
      </c>
      <c r="V172">
        <v>0</v>
      </c>
      <c r="W172">
        <v>165</v>
      </c>
      <c r="X172">
        <v>704</v>
      </c>
      <c r="Y172">
        <v>0</v>
      </c>
      <c r="Z172" t="s">
        <v>114</v>
      </c>
      <c r="AA172" t="s">
        <v>115</v>
      </c>
      <c r="AB172" t="s">
        <v>116</v>
      </c>
      <c r="AC172">
        <v>9.6</v>
      </c>
      <c r="AD172">
        <v>13013</v>
      </c>
      <c r="AE172">
        <f t="shared" si="22"/>
        <v>124924.79999999999</v>
      </c>
      <c r="AF172">
        <f t="shared" si="23"/>
        <v>49852.070000000007</v>
      </c>
    </row>
    <row r="173" spans="1:32" x14ac:dyDescent="0.2">
      <c r="A173" t="s">
        <v>635</v>
      </c>
      <c r="B173" t="s">
        <v>33</v>
      </c>
      <c r="C173" s="2" t="s">
        <v>637</v>
      </c>
      <c r="D173" t="s">
        <v>34</v>
      </c>
      <c r="E173" t="s">
        <v>35</v>
      </c>
      <c r="F173" t="s">
        <v>36</v>
      </c>
      <c r="G173" t="s">
        <v>37</v>
      </c>
      <c r="H173" t="s">
        <v>38</v>
      </c>
      <c r="I173">
        <v>1.5</v>
      </c>
      <c r="J173">
        <v>2609.9</v>
      </c>
      <c r="K173">
        <v>0</v>
      </c>
      <c r="L173">
        <f t="shared" si="20"/>
        <v>3914.8500000000004</v>
      </c>
      <c r="M173">
        <f t="shared" si="21"/>
        <v>0</v>
      </c>
      <c r="N173">
        <v>3752.2</v>
      </c>
      <c r="O173">
        <v>162.64745719999999</v>
      </c>
      <c r="P173">
        <v>24377.35</v>
      </c>
      <c r="Q173">
        <v>0</v>
      </c>
      <c r="R173" s="1" t="s">
        <v>636</v>
      </c>
      <c r="S173">
        <v>0</v>
      </c>
      <c r="T173">
        <v>1020</v>
      </c>
      <c r="U173">
        <v>0</v>
      </c>
      <c r="V173">
        <v>1450</v>
      </c>
      <c r="W173">
        <v>65</v>
      </c>
      <c r="X173">
        <v>0</v>
      </c>
      <c r="Y173">
        <v>644</v>
      </c>
      <c r="Z173" t="s">
        <v>39</v>
      </c>
      <c r="AA173" t="s">
        <v>40</v>
      </c>
      <c r="AB173" t="s">
        <v>41</v>
      </c>
      <c r="AC173">
        <v>1.5</v>
      </c>
      <c r="AD173">
        <v>14000</v>
      </c>
      <c r="AE173">
        <f t="shared" si="22"/>
        <v>21000</v>
      </c>
      <c r="AF173">
        <f t="shared" si="23"/>
        <v>198.34999999999854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Lu, Linden</cp:lastModifiedBy>
  <dcterms:created xsi:type="dcterms:W3CDTF">2026-03-29T16:26:39Z</dcterms:created>
  <dcterms:modified xsi:type="dcterms:W3CDTF">2026-03-29T19:36:28Z</dcterms:modified>
</cp:coreProperties>
</file>